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unj\Desktop\EPE SYSTEM - ATUN-20250514T144648Z-1-001\Employee Performance Evaluation System\"/>
    </mc:Choice>
  </mc:AlternateContent>
  <xr:revisionPtr revIDLastSave="0" documentId="13_ncr:1_{9B1F51E6-523F-4182-8F57-8FD718919199}" xr6:coauthVersionLast="47" xr6:coauthVersionMax="47" xr10:uidLastSave="{00000000-0000-0000-0000-000000000000}"/>
  <bookViews>
    <workbookView xWindow="-120" yWindow="-120" windowWidth="29040" windowHeight="16440" firstSheet="1" activeTab="14" xr2:uid="{00000000-000D-0000-FFFF-FFFF00000000}"/>
  </bookViews>
  <sheets>
    <sheet name="100015" sheetId="68" r:id="rId1"/>
    <sheet name="100016" sheetId="70" r:id="rId2"/>
    <sheet name="100017" sheetId="71" r:id="rId3"/>
    <sheet name="100018" sheetId="73" r:id="rId4"/>
    <sheet name="100019" sheetId="74" r:id="rId5"/>
    <sheet name="100020" sheetId="75" r:id="rId6"/>
    <sheet name="100021" sheetId="76" r:id="rId7"/>
    <sheet name="100022" sheetId="77" r:id="rId8"/>
    <sheet name="100023" sheetId="78" r:id="rId9"/>
    <sheet name="100024" sheetId="79" r:id="rId10"/>
    <sheet name="100025" sheetId="80" r:id="rId11"/>
    <sheet name="100026" sheetId="81" r:id="rId12"/>
    <sheet name="100027" sheetId="82" r:id="rId13"/>
    <sheet name="100028" sheetId="83" r:id="rId14"/>
    <sheet name="100029" sheetId="84" r:id="rId15"/>
    <sheet name="100030" sheetId="86" r:id="rId16"/>
    <sheet name="100031" sheetId="87" r:id="rId17"/>
  </sheets>
  <definedNames>
    <definedName name="picture_here" localSheetId="0">'100015'!$A$1:$B$5</definedName>
    <definedName name="picture_here" localSheetId="1">'100016'!$A$1:$B$5</definedName>
    <definedName name="picture_here" localSheetId="2">'100017'!$A$1:$B$5</definedName>
    <definedName name="picture_here" localSheetId="3">'100018'!$A$1:$B$5</definedName>
    <definedName name="picture_here" localSheetId="4">'100019'!$A$1:$B$5</definedName>
    <definedName name="picture_here" localSheetId="5">'100020'!$A$1:$B$5</definedName>
    <definedName name="picture_here" localSheetId="6">'100021'!$A$1:$B$5</definedName>
    <definedName name="picture_here" localSheetId="7">'100022'!$A$1:$B$5</definedName>
    <definedName name="picture_here" localSheetId="8">'100023'!$A$1:$B$5</definedName>
    <definedName name="picture_here" localSheetId="9">'100024'!$A$1:$B$5</definedName>
    <definedName name="picture_here" localSheetId="10">'100025'!$A$1:$B$5</definedName>
    <definedName name="picture_here" localSheetId="11">'100026'!$A$1:$B$5</definedName>
    <definedName name="picture_here" localSheetId="12">'100027'!$A$1:$B$5</definedName>
    <definedName name="picture_here" localSheetId="13">'100028'!$A$1:$B$5</definedName>
    <definedName name="picture_here" localSheetId="14">'100029'!$A$1:$B$5</definedName>
    <definedName name="picture_here" localSheetId="15">'100030'!$A$1:$B$5</definedName>
    <definedName name="picture_here" localSheetId="16">'100031'!$A$1:$B$5</definedName>
    <definedName name="picture_her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87" l="1"/>
  <c r="T2" i="87"/>
  <c r="S2" i="87"/>
  <c r="R2" i="87"/>
  <c r="Q2" i="87"/>
  <c r="P2" i="87"/>
  <c r="O2" i="87"/>
  <c r="N2" i="87"/>
  <c r="M2" i="87"/>
  <c r="L2" i="87"/>
  <c r="U2" i="86"/>
  <c r="T2" i="86"/>
  <c r="S2" i="86"/>
  <c r="R2" i="86"/>
  <c r="Q2" i="86"/>
  <c r="P2" i="86"/>
  <c r="O2" i="86"/>
  <c r="N2" i="86"/>
  <c r="M2" i="86"/>
  <c r="L2" i="86"/>
  <c r="U2" i="84"/>
  <c r="T2" i="84"/>
  <c r="S2" i="84"/>
  <c r="R2" i="84"/>
  <c r="Q2" i="84"/>
  <c r="P2" i="84"/>
  <c r="O2" i="84"/>
  <c r="N2" i="84"/>
  <c r="M2" i="84"/>
  <c r="L2" i="84"/>
  <c r="U2" i="83"/>
  <c r="T2" i="83"/>
  <c r="S2" i="83"/>
  <c r="R2" i="83"/>
  <c r="Q2" i="83"/>
  <c r="P2" i="83"/>
  <c r="O2" i="83"/>
  <c r="N2" i="83"/>
  <c r="M2" i="83"/>
  <c r="L2" i="83"/>
  <c r="U2" i="82"/>
  <c r="T2" i="82"/>
  <c r="S2" i="82"/>
  <c r="R2" i="82"/>
  <c r="Q2" i="82"/>
  <c r="P2" i="82"/>
  <c r="O2" i="82"/>
  <c r="N2" i="82"/>
  <c r="M2" i="82"/>
  <c r="L2" i="82"/>
  <c r="U2" i="81"/>
  <c r="T2" i="81"/>
  <c r="S2" i="81"/>
  <c r="R2" i="81"/>
  <c r="Q2" i="81"/>
  <c r="P2" i="81"/>
  <c r="O2" i="81"/>
  <c r="N2" i="81"/>
  <c r="M2" i="81"/>
  <c r="L2" i="81"/>
  <c r="U2" i="80"/>
  <c r="T2" i="80"/>
  <c r="S2" i="80"/>
  <c r="R2" i="80"/>
  <c r="Q2" i="80"/>
  <c r="P2" i="80"/>
  <c r="O2" i="80"/>
  <c r="N2" i="80"/>
  <c r="M2" i="80"/>
  <c r="L2" i="80"/>
  <c r="U2" i="79"/>
  <c r="T2" i="79"/>
  <c r="S2" i="79"/>
  <c r="R2" i="79"/>
  <c r="Q2" i="79"/>
  <c r="P2" i="79"/>
  <c r="O2" i="79"/>
  <c r="N2" i="79"/>
  <c r="M2" i="79"/>
  <c r="L2" i="79"/>
  <c r="U2" i="78"/>
  <c r="T2" i="78"/>
  <c r="S2" i="78"/>
  <c r="R2" i="78"/>
  <c r="Q2" i="78"/>
  <c r="P2" i="78"/>
  <c r="O2" i="78"/>
  <c r="N2" i="78"/>
  <c r="M2" i="78"/>
  <c r="L2" i="78"/>
  <c r="U2" i="77"/>
  <c r="T2" i="77"/>
  <c r="S2" i="77"/>
  <c r="R2" i="77"/>
  <c r="Q2" i="77"/>
  <c r="P2" i="77"/>
  <c r="O2" i="77"/>
  <c r="N2" i="77"/>
  <c r="M2" i="77"/>
  <c r="L2" i="77"/>
  <c r="U2" i="76"/>
  <c r="T2" i="76"/>
  <c r="S2" i="76"/>
  <c r="R2" i="76"/>
  <c r="Q2" i="76"/>
  <c r="P2" i="76"/>
  <c r="O2" i="76"/>
  <c r="N2" i="76"/>
  <c r="M2" i="76"/>
  <c r="L2" i="76"/>
  <c r="U2" i="75"/>
  <c r="T2" i="75"/>
  <c r="S2" i="75"/>
  <c r="R2" i="75"/>
  <c r="Q2" i="75"/>
  <c r="P2" i="75"/>
  <c r="O2" i="75"/>
  <c r="N2" i="75"/>
  <c r="M2" i="75"/>
  <c r="L2" i="75"/>
  <c r="U2" i="74" l="1"/>
  <c r="T2" i="74"/>
  <c r="S2" i="74"/>
  <c r="R2" i="74"/>
  <c r="Q2" i="74"/>
  <c r="P2" i="74"/>
  <c r="O2" i="74"/>
  <c r="N2" i="74"/>
  <c r="M2" i="74"/>
  <c r="L2" i="74"/>
  <c r="U2" i="73"/>
  <c r="T2" i="73"/>
  <c r="S2" i="73"/>
  <c r="R2" i="73"/>
  <c r="Q2" i="73"/>
  <c r="P2" i="73"/>
  <c r="O2" i="73"/>
  <c r="N2" i="73"/>
  <c r="M2" i="73"/>
  <c r="L2" i="73"/>
  <c r="U2" i="71"/>
  <c r="T2" i="71"/>
  <c r="S2" i="71"/>
  <c r="R2" i="71"/>
  <c r="Q2" i="71"/>
  <c r="P2" i="71"/>
  <c r="O2" i="71"/>
  <c r="N2" i="71"/>
  <c r="M2" i="71"/>
  <c r="L2" i="71"/>
  <c r="U2" i="70"/>
  <c r="T2" i="70"/>
  <c r="S2" i="70"/>
  <c r="R2" i="70"/>
  <c r="Q2" i="70"/>
  <c r="P2" i="70"/>
  <c r="O2" i="70"/>
  <c r="N2" i="70"/>
  <c r="M2" i="70"/>
  <c r="L2" i="70"/>
  <c r="U2" i="68"/>
  <c r="T2" i="68"/>
  <c r="S2" i="68"/>
  <c r="R2" i="68"/>
  <c r="L2" i="68"/>
</calcChain>
</file>

<file path=xl/sharedStrings.xml><?xml version="1.0" encoding="utf-8"?>
<sst xmlns="http://schemas.openxmlformats.org/spreadsheetml/2006/main" count="782" uniqueCount="112">
  <si>
    <t>Employee Details</t>
  </si>
  <si>
    <t>Full Name:</t>
  </si>
  <si>
    <t>Birthdate:</t>
  </si>
  <si>
    <t>Sex:</t>
  </si>
  <si>
    <t>Employee ID:</t>
  </si>
  <si>
    <t>Male</t>
  </si>
  <si>
    <t>Phone Number:</t>
  </si>
  <si>
    <t>Department:</t>
  </si>
  <si>
    <t>Address:</t>
  </si>
  <si>
    <t>Position/Title:</t>
  </si>
  <si>
    <t>Email Address:</t>
  </si>
  <si>
    <t>Date of Hire:</t>
  </si>
  <si>
    <t>Employment Type</t>
  </si>
  <si>
    <t>Full-Time</t>
  </si>
  <si>
    <t>Marketing</t>
  </si>
  <si>
    <t>Operations</t>
  </si>
  <si>
    <t>Logistics Coordinator</t>
  </si>
  <si>
    <t>Finance</t>
  </si>
  <si>
    <t>Accountant</t>
  </si>
  <si>
    <t>Customer_Service</t>
  </si>
  <si>
    <t>Tech Support Specialist</t>
  </si>
  <si>
    <t>Female</t>
  </si>
  <si>
    <t>Human_Resource</t>
  </si>
  <si>
    <t>IT</t>
  </si>
  <si>
    <t>Administration</t>
  </si>
  <si>
    <t>Sales</t>
  </si>
  <si>
    <t>Graphic Designer</t>
  </si>
  <si>
    <t xml:space="preserve"> </t>
  </si>
  <si>
    <t>John Smith</t>
  </si>
  <si>
    <t>Paso De Blas, Valenzuela</t>
  </si>
  <si>
    <t>Chief Financial Officer</t>
  </si>
  <si>
    <t>smith@gmail.com</t>
  </si>
  <si>
    <t>Evaluation Criteria</t>
  </si>
  <si>
    <t>Superior</t>
  </si>
  <si>
    <t>Colleague</t>
  </si>
  <si>
    <t>Subordinate</t>
  </si>
  <si>
    <t>Self</t>
  </si>
  <si>
    <t>Work Attitude</t>
  </si>
  <si>
    <t>Professional Knowledge</t>
  </si>
  <si>
    <t>Ability to work</t>
  </si>
  <si>
    <t>Working achievement</t>
  </si>
  <si>
    <t>Evaluator</t>
  </si>
  <si>
    <t>Score</t>
  </si>
  <si>
    <t>Total Score</t>
  </si>
  <si>
    <t>Criteria</t>
  </si>
  <si>
    <t>Self-Assessment</t>
  </si>
  <si>
    <t>Total Combined Score</t>
  </si>
  <si>
    <t>Average Score</t>
  </si>
  <si>
    <t>Weighted Score</t>
  </si>
  <si>
    <t>Evaluation Result</t>
  </si>
  <si>
    <t>Karl Marx</t>
  </si>
  <si>
    <t>Tondo Manila</t>
  </si>
  <si>
    <t>marx@gmail.com</t>
  </si>
  <si>
    <t>Weighted Average Score</t>
  </si>
  <si>
    <t>Mao Zedong</t>
  </si>
  <si>
    <t>Phone Number</t>
  </si>
  <si>
    <t>Bagong Silang Caloocan</t>
  </si>
  <si>
    <t>Office Manager</t>
  </si>
  <si>
    <t>Mao@gmail.com</t>
  </si>
  <si>
    <t>Part-Time</t>
  </si>
  <si>
    <t>Joseph Stalin</t>
  </si>
  <si>
    <t>West Crame, San Juan</t>
  </si>
  <si>
    <t>Quality Specialist</t>
  </si>
  <si>
    <t>Stalin@gmail.com</t>
  </si>
  <si>
    <t>Agatha Christie</t>
  </si>
  <si>
    <t>Diliman, Quezon City</t>
  </si>
  <si>
    <t>CS Manager</t>
  </si>
  <si>
    <t>Aga@gmail.com</t>
  </si>
  <si>
    <t>Vladimir Putin</t>
  </si>
  <si>
    <t>Ermita, Manila</t>
  </si>
  <si>
    <t>Putin@gmail.com</t>
  </si>
  <si>
    <t>Angela Davis</t>
  </si>
  <si>
    <t>San Roque, Navotas</t>
  </si>
  <si>
    <t>HR Coordinator</t>
  </si>
  <si>
    <t>davis@gmail.com</t>
  </si>
  <si>
    <t>Nelson Mandela</t>
  </si>
  <si>
    <t>Quiapo Manila</t>
  </si>
  <si>
    <t>Payroll Specialist</t>
  </si>
  <si>
    <t>Mandela@gmail.com</t>
  </si>
  <si>
    <t>Friedrich Nietzsche</t>
  </si>
  <si>
    <t>Potrero, Malabon</t>
  </si>
  <si>
    <t>Project Manager</t>
  </si>
  <si>
    <t>rich@gmail.com</t>
  </si>
  <si>
    <t>Immanuel Kant</t>
  </si>
  <si>
    <t>Poblacion, Makati</t>
  </si>
  <si>
    <t>Web Developer</t>
  </si>
  <si>
    <t>kant@gmail.com</t>
  </si>
  <si>
    <t>Contract</t>
  </si>
  <si>
    <t>Rene Descartes</t>
  </si>
  <si>
    <t>Alabang, Muntinlupa</t>
  </si>
  <si>
    <t>Account Manager</t>
  </si>
  <si>
    <t>rene@gmail.com</t>
  </si>
  <si>
    <t>Freelance</t>
  </si>
  <si>
    <t>Ted Bundy</t>
  </si>
  <si>
    <t>Baclaran, Pasay</t>
  </si>
  <si>
    <t>ted@gmail.com</t>
  </si>
  <si>
    <t>Franz Kafka</t>
  </si>
  <si>
    <t>San Lorenzo, Makati</t>
  </si>
  <si>
    <t>kafka@gmail.com</t>
  </si>
  <si>
    <t>Andy Weir</t>
  </si>
  <si>
    <t>Camarin, Caloocan City</t>
  </si>
  <si>
    <t>jojo@gmail.com</t>
  </si>
  <si>
    <t>Haruki Murakami</t>
  </si>
  <si>
    <t>Batasan Hills, Quezon City</t>
  </si>
  <si>
    <t>haru@gmail.com</t>
  </si>
  <si>
    <t>Brandon Sanderson</t>
  </si>
  <si>
    <t>Forbes Park, Makati City</t>
  </si>
  <si>
    <t>Network Admin</t>
  </si>
  <si>
    <t>Sander@gmail.com</t>
  </si>
  <si>
    <t>Frank Herbert</t>
  </si>
  <si>
    <t>Fort Bonifacio, Taguig City</t>
  </si>
  <si>
    <t>frank@gmail.com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</si>
</sst>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Aptos Narrow"/>
      <family val="2"/>
    </font>
    <font>
      <sz val="9"/>
      <color theme="2"/>
      <name val="Aptos Narrow"/>
      <family val="2"/>
    </font>
    <font>
      <b/>
      <sz val="11"/>
      <color theme="1"/>
      <name val="Aptos Narrow"/>
      <family val="2"/>
    </font>
    <font>
      <sz val="9"/>
      <color theme="1"/>
      <name val="Calibri"/>
      <family val="2"/>
      <scheme val="minor"/>
    </font>
    <font>
      <b/>
      <sz val="9"/>
      <color theme="1"/>
      <name val="Aptos Narrow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2" fillId="3" borderId="3" xfId="0" applyFont="1" applyFill="1" applyBorder="1"/>
    <xf numFmtId="0" fontId="4" fillId="3" borderId="7" xfId="0" applyFont="1" applyFill="1" applyBorder="1"/>
    <xf numFmtId="0" fontId="4" fillId="0" borderId="0" xfId="0" applyFont="1"/>
    <xf numFmtId="0" fontId="1" fillId="2" borderId="8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3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1" fillId="4" borderId="0" xfId="0" applyFont="1" applyFill="1" applyAlignment="1">
      <alignment vertical="center"/>
    </xf>
    <xf numFmtId="0" fontId="1" fillId="4" borderId="9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0" fontId="1" fillId="3" borderId="18" xfId="0" applyFont="1" applyFill="1" applyBorder="1" applyAlignment="1">
      <alignment vertical="center"/>
    </xf>
    <xf numFmtId="0" fontId="1" fillId="4" borderId="18" xfId="0" applyFont="1" applyFill="1" applyBorder="1" applyAlignment="1">
      <alignment vertical="center"/>
    </xf>
    <xf numFmtId="0" fontId="1" fillId="4" borderId="19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7" fillId="2" borderId="8" xfId="1" applyFill="1" applyBorder="1" applyAlignment="1">
      <alignment vertical="center"/>
    </xf>
    <xf numFmtId="0" fontId="10" fillId="0" borderId="0" xfId="0" applyFont="1"/>
    <xf numFmtId="0" fontId="9" fillId="0" borderId="0" xfId="0" applyFont="1"/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5" borderId="0" xfId="0" applyFill="1"/>
    <xf numFmtId="0" fontId="6" fillId="6" borderId="10" xfId="0" applyFont="1" applyFill="1" applyBorder="1"/>
    <xf numFmtId="0" fontId="6" fillId="6" borderId="1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horizontal="right" vertical="center"/>
    </xf>
    <xf numFmtId="0" fontId="0" fillId="0" borderId="10" xfId="0" applyBorder="1" applyAlignment="1">
      <alignment horizontal="right"/>
    </xf>
    <xf numFmtId="0" fontId="6" fillId="6" borderId="15" xfId="0" applyFont="1" applyFill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6" fillId="6" borderId="13" xfId="0" applyFont="1" applyFill="1" applyBorder="1"/>
    <xf numFmtId="0" fontId="0" fillId="0" borderId="13" xfId="0" applyBorder="1"/>
    <xf numFmtId="0" fontId="0" fillId="0" borderId="10" xfId="0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14" fontId="2" fillId="3" borderId="14" xfId="0" applyNumberFormat="1" applyFont="1" applyFill="1" applyBorder="1" applyAlignment="1">
      <alignment horizontal="center" vertical="center"/>
    </xf>
    <xf numFmtId="14" fontId="2" fillId="3" borderId="10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4" fontId="2" fillId="3" borderId="11" xfId="0" applyNumberFormat="1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center"/>
    </xf>
    <xf numFmtId="0" fontId="7" fillId="3" borderId="10" xfId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D:\Downloads\cropped-1920-1080-1291902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tunj\Desktop\Mao_1925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411414921_700226612215978_4020448418368088948_n.jp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415348881_234972242982875_3822489103369159786_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305483395_3250679438521399_986144018264268859_n.jpg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Suit%20PNG.png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Suit%20PNG.png" TargetMode="Externa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Suit%20PNG.png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Suit%20PNG.png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Suit%20PNG.png" TargetMode="Externa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file:///D:\Documents\Suit%20PNG.png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tunj\Desktop\gettyimages-171085074-copy.jpg" TargetMode="Externa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tunj\Desktop\-46Z_MZ2_400x400.jpg" TargetMode="Externa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tunj\Desktop\images%20(1).jpg" TargetMode="Externa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tunj\Desktop\images%20(2).jpg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tunj\Desktop\Frank_Herbert_1984_(square)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52227" name="lblEvaluate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71675</xdr:colOff>
      <xdr:row>0</xdr:row>
      <xdr:rowOff>0</xdr:rowOff>
    </xdr:from>
    <xdr:to>
      <xdr:col>1</xdr:col>
      <xdr:colOff>523874</xdr:colOff>
      <xdr:row>4</xdr:row>
      <xdr:rowOff>220027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75" r="21875"/>
        <a:stretch/>
      </xdr:blipFill>
      <xdr:spPr>
        <a:xfrm>
          <a:off x="71675" y="0"/>
          <a:ext cx="1059418" cy="10594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45020</xdr:colOff>
      <xdr:row>0</xdr:row>
      <xdr:rowOff>0</xdr:rowOff>
    </xdr:from>
    <xdr:to>
      <xdr:col>1</xdr:col>
      <xdr:colOff>536005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020" y="0"/>
          <a:ext cx="1100585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54275" name="lblEvaluate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F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212267</xdr:colOff>
      <xdr:row>0</xdr:row>
      <xdr:rowOff>0</xdr:rowOff>
    </xdr:from>
    <xdr:to>
      <xdr:col>1</xdr:col>
      <xdr:colOff>368757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267" y="0"/>
          <a:ext cx="766090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55300" name="lblEvaluate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0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73945</xdr:colOff>
      <xdr:row>0</xdr:row>
      <xdr:rowOff>0</xdr:rowOff>
    </xdr:from>
    <xdr:to>
      <xdr:col>1</xdr:col>
      <xdr:colOff>507081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3945" y="0"/>
          <a:ext cx="104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57347" name="lblEvaluate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1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66280</xdr:colOff>
      <xdr:row>0</xdr:row>
      <xdr:rowOff>0</xdr:rowOff>
    </xdr:from>
    <xdr:to>
      <xdr:col>1</xdr:col>
      <xdr:colOff>514745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80" y="0"/>
          <a:ext cx="1058065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58371" name="lblEvaluate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197974</xdr:colOff>
      <xdr:row>0</xdr:row>
      <xdr:rowOff>0</xdr:rowOff>
    </xdr:from>
    <xdr:to>
      <xdr:col>1</xdr:col>
      <xdr:colOff>383051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974" y="0"/>
          <a:ext cx="794677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59395" name="lblEvaluate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48944</xdr:colOff>
      <xdr:row>0</xdr:row>
      <xdr:rowOff>0</xdr:rowOff>
    </xdr:from>
    <xdr:to>
      <xdr:col>1</xdr:col>
      <xdr:colOff>532080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8944" y="0"/>
          <a:ext cx="109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0419" name="lblEvaluate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4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48944</xdr:colOff>
      <xdr:row>0</xdr:row>
      <xdr:rowOff>0</xdr:rowOff>
    </xdr:from>
    <xdr:to>
      <xdr:col>1</xdr:col>
      <xdr:colOff>532080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8944" y="0"/>
          <a:ext cx="109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1443" name="lblEvaluate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48944</xdr:colOff>
      <xdr:row>0</xdr:row>
      <xdr:rowOff>0</xdr:rowOff>
    </xdr:from>
    <xdr:to>
      <xdr:col>1</xdr:col>
      <xdr:colOff>532080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8944" y="0"/>
          <a:ext cx="109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2468" name="lblEvaluate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6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48944</xdr:colOff>
      <xdr:row>0</xdr:row>
      <xdr:rowOff>0</xdr:rowOff>
    </xdr:from>
    <xdr:to>
      <xdr:col>1</xdr:col>
      <xdr:colOff>532080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8944" y="0"/>
          <a:ext cx="109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3491" name="lblEvaluate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7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48944</xdr:colOff>
      <xdr:row>0</xdr:row>
      <xdr:rowOff>0</xdr:rowOff>
    </xdr:from>
    <xdr:to>
      <xdr:col>1</xdr:col>
      <xdr:colOff>532080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8944" y="0"/>
          <a:ext cx="109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4515" name="lblEvaluate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8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48944</xdr:colOff>
      <xdr:row>0</xdr:row>
      <xdr:rowOff>0</xdr:rowOff>
    </xdr:from>
    <xdr:to>
      <xdr:col>1</xdr:col>
      <xdr:colOff>532080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8944" y="0"/>
          <a:ext cx="1092736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5539" name="lblEvaluate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19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70859</xdr:colOff>
      <xdr:row>0</xdr:row>
      <xdr:rowOff>0</xdr:rowOff>
    </xdr:from>
    <xdr:to>
      <xdr:col>1</xdr:col>
      <xdr:colOff>519461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859" y="0"/>
          <a:ext cx="1058202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6563" name="lblEvaluate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A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66219</xdr:colOff>
      <xdr:row>0</xdr:row>
      <xdr:rowOff>0</xdr:rowOff>
    </xdr:from>
    <xdr:to>
      <xdr:col>1</xdr:col>
      <xdr:colOff>514806</xdr:colOff>
      <xdr:row>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19" y="0"/>
          <a:ext cx="1058187" cy="10572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7587" name="lblEvaluate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B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52851</xdr:colOff>
      <xdr:row>0</xdr:row>
      <xdr:rowOff>0</xdr:rowOff>
    </xdr:from>
    <xdr:to>
      <xdr:col>1</xdr:col>
      <xdr:colOff>500296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2851" y="0"/>
          <a:ext cx="1057045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8611" name="lblEvaluate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1C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195199</xdr:colOff>
      <xdr:row>0</xdr:row>
      <xdr:rowOff>0</xdr:rowOff>
    </xdr:from>
    <xdr:to>
      <xdr:col>1</xdr:col>
      <xdr:colOff>385826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199" y="0"/>
          <a:ext cx="800227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69635" name="lblEvaluate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D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66474</xdr:colOff>
      <xdr:row>0</xdr:row>
      <xdr:rowOff>0</xdr:rowOff>
    </xdr:from>
    <xdr:to>
      <xdr:col>1</xdr:col>
      <xdr:colOff>514552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474" y="0"/>
          <a:ext cx="1057678" cy="1057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19050</xdr:rowOff>
        </xdr:from>
        <xdr:to>
          <xdr:col>9</xdr:col>
          <xdr:colOff>266700</xdr:colOff>
          <xdr:row>12</xdr:row>
          <xdr:rowOff>180975</xdr:rowOff>
        </xdr:to>
        <xdr:sp macro="" textlink="">
          <xdr:nvSpPr>
            <xdr:cNvPr id="70659" name="lblEvaluate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1E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hanty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hanty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.emf"/><Relationship Id="rId4" Type="http://schemas.openxmlformats.org/officeDocument/2006/relationships/control" Target="../activeX/activeX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.emf"/><Relationship Id="rId4" Type="http://schemas.openxmlformats.org/officeDocument/2006/relationships/control" Target="../activeX/activeX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C23A8-7543-4074-855B-697F8F221368}">
  <sheetPr codeName="Sheet16"/>
  <dimension ref="A1:U17"/>
  <sheetViews>
    <sheetView zoomScale="160" zoomScaleNormal="160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5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100015</v>
      </c>
      <c r="M2" s="12"/>
      <c r="N2" s="26"/>
      <c r="O2" s="26"/>
      <c r="P2" s="26"/>
      <c r="Q2" s="26"/>
      <c r="R2" s="21" t="str">
        <f>$A$12</f>
        <v>Chief Financial Officer</v>
      </c>
      <c r="S2" s="21" t="str">
        <f>$A$10</f>
        <v>Finance</v>
      </c>
      <c r="T2" s="21">
        <f>$A$14</f>
        <v>40596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14</v>
      </c>
      <c r="O4" s="35">
        <v>16</v>
      </c>
      <c r="P4" s="35">
        <v>22</v>
      </c>
      <c r="Q4" s="35">
        <v>19</v>
      </c>
    </row>
    <row r="5" spans="1:21" ht="17.25" customHeight="1" x14ac:dyDescent="0.25">
      <c r="A5" s="6"/>
      <c r="B5" s="7"/>
      <c r="C5" s="13"/>
      <c r="D5" s="49" t="s">
        <v>28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14</v>
      </c>
      <c r="O5" s="35">
        <v>11</v>
      </c>
      <c r="P5" s="35">
        <v>15</v>
      </c>
      <c r="Q5" s="35">
        <v>15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13</v>
      </c>
      <c r="O6" s="35">
        <v>15</v>
      </c>
      <c r="P6" s="35">
        <v>13</v>
      </c>
      <c r="Q6" s="35">
        <v>15</v>
      </c>
    </row>
    <row r="7" spans="1:21" x14ac:dyDescent="0.25">
      <c r="A7" s="47" t="s">
        <v>4</v>
      </c>
      <c r="B7" s="48"/>
      <c r="C7" s="13"/>
      <c r="D7" s="63">
        <v>33584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11</v>
      </c>
      <c r="O7" s="34">
        <v>16</v>
      </c>
      <c r="P7" s="35">
        <v>13</v>
      </c>
      <c r="Q7" s="35">
        <v>19</v>
      </c>
    </row>
    <row r="8" spans="1:21" x14ac:dyDescent="0.25">
      <c r="A8" s="41">
        <v>100015</v>
      </c>
      <c r="B8" s="42"/>
      <c r="C8" s="13"/>
      <c r="D8" s="45" t="s">
        <v>6</v>
      </c>
      <c r="E8" s="46"/>
      <c r="F8" s="13"/>
      <c r="G8" s="13"/>
      <c r="H8" s="13"/>
      <c r="I8" s="13"/>
      <c r="J8" s="14"/>
      <c r="K8" s="11"/>
      <c r="L8" s="5"/>
      <c r="N8" s="26"/>
      <c r="O8" s="30"/>
    </row>
    <row r="9" spans="1:21" x14ac:dyDescent="0.25">
      <c r="A9" s="47" t="s">
        <v>7</v>
      </c>
      <c r="B9" s="48"/>
      <c r="C9" s="13"/>
      <c r="D9" s="49">
        <v>9725143795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17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52</v>
      </c>
      <c r="O10" s="40">
        <v>241</v>
      </c>
      <c r="P10" s="39" t="s">
        <v>37</v>
      </c>
      <c r="Q10" s="33">
        <v>71</v>
      </c>
    </row>
    <row r="11" spans="1:21" x14ac:dyDescent="0.25">
      <c r="A11" s="47" t="s">
        <v>9</v>
      </c>
      <c r="B11" s="48"/>
      <c r="C11" s="13"/>
      <c r="D11" s="49" t="s">
        <v>29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58</v>
      </c>
      <c r="O11" s="40" t="s">
        <v>47</v>
      </c>
      <c r="P11" s="39" t="s">
        <v>38</v>
      </c>
      <c r="Q11" s="33">
        <v>55</v>
      </c>
    </row>
    <row r="12" spans="1:21" x14ac:dyDescent="0.25">
      <c r="A12" s="41" t="s">
        <v>30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63</v>
      </c>
      <c r="O12" s="40">
        <v>12.05</v>
      </c>
      <c r="P12" s="39" t="s">
        <v>39</v>
      </c>
      <c r="Q12" s="33">
        <v>56</v>
      </c>
    </row>
    <row r="13" spans="1:21" x14ac:dyDescent="0.25">
      <c r="A13" s="47" t="s">
        <v>11</v>
      </c>
      <c r="B13" s="48"/>
      <c r="C13" s="13"/>
      <c r="D13" s="65" t="s">
        <v>31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68</v>
      </c>
      <c r="O13" s="40" t="s">
        <v>48</v>
      </c>
      <c r="P13" s="39" t="s">
        <v>40</v>
      </c>
      <c r="Q13" s="33">
        <v>59</v>
      </c>
    </row>
    <row r="14" spans="1:21" x14ac:dyDescent="0.25">
      <c r="A14" s="54">
        <v>40596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M14" s="27"/>
      <c r="N14" s="26"/>
      <c r="O14" s="40">
        <v>57.600000000000009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M15" s="28"/>
      <c r="N15" s="29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M16" s="25"/>
      <c r="N16" s="25"/>
      <c r="O16" s="40">
        <v>2.88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M17" s="24"/>
      <c r="N17" s="24"/>
      <c r="O17" s="30"/>
    </row>
  </sheetData>
  <sheetProtection algorithmName="SHA-512" hashValue="bdJk00FF4MsjLuvP4Rgz4kPPfquIUyhtRDNtJzrKkslctf07IizSjA5BxtwjuWzh3Aobxjk3g+3hZEY8GruBKQ==" saltValue="NG6hOZI1wZkE0FYyJChz1A==" spinCount="100000" sheet="1" objects="1" scenarios="1"/>
  <mergeCells count="22">
    <mergeCell ref="M1:Q1"/>
    <mergeCell ref="A16:B16"/>
    <mergeCell ref="A12:B12"/>
    <mergeCell ref="D12:E12"/>
    <mergeCell ref="A13:B13"/>
    <mergeCell ref="D13:G13"/>
    <mergeCell ref="A14:B14"/>
    <mergeCell ref="A15:B15"/>
    <mergeCell ref="A11:B11"/>
    <mergeCell ref="D11:J11"/>
    <mergeCell ref="D1:J1"/>
    <mergeCell ref="E4:J4"/>
    <mergeCell ref="D5:J5"/>
    <mergeCell ref="A6:B6"/>
    <mergeCell ref="A7:B7"/>
    <mergeCell ref="D7:F7"/>
    <mergeCell ref="A10:B10"/>
    <mergeCell ref="H7:I7"/>
    <mergeCell ref="A8:B8"/>
    <mergeCell ref="D8:E8"/>
    <mergeCell ref="A9:B9"/>
    <mergeCell ref="D9:F9"/>
  </mergeCells>
  <dataValidations count="3">
    <dataValidation type="list" allowBlank="1" showInputMessage="1" showErrorMessage="1" sqref="H7:I7" xr:uid="{FDF1EF5F-F998-4B2D-8DF1-D66EC1FCE74A}">
      <formula1>"Male, Female"</formula1>
    </dataValidation>
    <dataValidation type="list" allowBlank="1" showInputMessage="1" showErrorMessage="1" sqref="A12:B12" xr:uid="{EC52A89F-98E8-442A-9E0A-E84C9D66D0D4}">
      <formula1>INDIRECT(A10)</formula1>
    </dataValidation>
    <dataValidation type="custom" allowBlank="1" showInputMessage="1" showErrorMessage="1" sqref="A8:B8" xr:uid="{F3B3A5B8-1250-4D57-8888-62A2BA82049C}">
      <formula1>AND(ISNUMBER(A8), A8 = INT(A8), LEN(A8) = 6)</formula1>
    </dataValidation>
  </dataValidations>
  <hyperlinks>
    <hyperlink ref="D13" r:id="rId1" display="shanty@gmail.com" xr:uid="{FB5DDC5A-A4A6-431F-9B7D-8C792AC63E41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52227" r:id="rId5" name="lblEvaluate">
          <controlPr defaultSize="0" autoLine="0" r:id="rId6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52227" r:id="rId5" name="lblEvalu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B2FE-B705-48C3-8272-0BD9C3A137DD}">
  <sheetPr codeName="Sheet17"/>
  <dimension ref="A1:U17"/>
  <sheetViews>
    <sheetView zoomScale="145" zoomScaleNormal="145" workbookViewId="0">
      <selection activeCell="L16" sqref="L16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100016</v>
      </c>
      <c r="M2" s="21" t="str">
        <f>$D$5</f>
        <v>Karl Marx</v>
      </c>
      <c r="N2" s="21" t="str">
        <f>$H$7</f>
        <v>Male</v>
      </c>
      <c r="O2" s="22">
        <f>$D$7</f>
        <v>33351</v>
      </c>
      <c r="P2" s="21">
        <f>$D$9</f>
        <v>9725143795</v>
      </c>
      <c r="Q2" s="21" t="str">
        <f>$D$13</f>
        <v>marx@gmail.com</v>
      </c>
      <c r="R2" s="21" t="str">
        <f>$A$12</f>
        <v>Graphic Designer</v>
      </c>
      <c r="S2" s="21" t="str">
        <f>$A$10</f>
        <v>Marketing</v>
      </c>
      <c r="T2" s="21">
        <f>$A$14</f>
        <v>44378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17</v>
      </c>
      <c r="O4" s="35">
        <v>14</v>
      </c>
      <c r="P4" s="35">
        <v>15</v>
      </c>
      <c r="Q4" s="35">
        <v>13</v>
      </c>
    </row>
    <row r="5" spans="1:21" ht="17.25" customHeight="1" x14ac:dyDescent="0.25">
      <c r="A5" s="6"/>
      <c r="B5" s="7"/>
      <c r="C5" s="13"/>
      <c r="D5" s="49" t="s">
        <v>50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17</v>
      </c>
      <c r="O5" s="35">
        <v>15</v>
      </c>
      <c r="P5" s="35">
        <v>18</v>
      </c>
      <c r="Q5" s="35">
        <v>12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12</v>
      </c>
      <c r="O6" s="35">
        <v>10</v>
      </c>
      <c r="P6" s="35">
        <v>14</v>
      </c>
      <c r="Q6" s="35">
        <v>16</v>
      </c>
    </row>
    <row r="7" spans="1:21" x14ac:dyDescent="0.25">
      <c r="A7" s="47" t="s">
        <v>4</v>
      </c>
      <c r="B7" s="48"/>
      <c r="C7" s="13"/>
      <c r="D7" s="63">
        <v>33351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14</v>
      </c>
      <c r="O7" s="35">
        <v>17</v>
      </c>
      <c r="P7" s="35">
        <v>18</v>
      </c>
      <c r="Q7" s="35">
        <v>17</v>
      </c>
    </row>
    <row r="8" spans="1:21" x14ac:dyDescent="0.25">
      <c r="A8" s="41">
        <v>100016</v>
      </c>
      <c r="B8" s="42"/>
      <c r="C8" s="13"/>
      <c r="D8" s="45" t="s">
        <v>6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9725143795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14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60</v>
      </c>
      <c r="O10" s="40">
        <v>239</v>
      </c>
      <c r="P10" s="39" t="s">
        <v>37</v>
      </c>
      <c r="Q10" s="33">
        <v>59</v>
      </c>
    </row>
    <row r="11" spans="1:21" x14ac:dyDescent="0.25">
      <c r="A11" s="47" t="s">
        <v>9</v>
      </c>
      <c r="B11" s="48"/>
      <c r="C11" s="13"/>
      <c r="D11" s="49" t="s">
        <v>51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56</v>
      </c>
      <c r="O11" s="40" t="s">
        <v>47</v>
      </c>
      <c r="P11" s="39" t="s">
        <v>38</v>
      </c>
      <c r="Q11" s="33">
        <v>62</v>
      </c>
    </row>
    <row r="12" spans="1:21" x14ac:dyDescent="0.25">
      <c r="A12" s="41" t="s">
        <v>26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65</v>
      </c>
      <c r="O12" s="40">
        <v>11.950000000000001</v>
      </c>
      <c r="P12" s="39" t="s">
        <v>39</v>
      </c>
      <c r="Q12" s="33">
        <v>52</v>
      </c>
    </row>
    <row r="13" spans="1:21" x14ac:dyDescent="0.25">
      <c r="A13" s="47" t="s">
        <v>11</v>
      </c>
      <c r="B13" s="48"/>
      <c r="C13" s="13"/>
      <c r="D13" s="65" t="s">
        <v>52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58</v>
      </c>
      <c r="O13" s="40" t="s">
        <v>48</v>
      </c>
      <c r="P13" s="39" t="s">
        <v>40</v>
      </c>
      <c r="Q13" s="33">
        <v>66</v>
      </c>
    </row>
    <row r="14" spans="1:21" x14ac:dyDescent="0.25">
      <c r="A14" s="54">
        <v>44378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59.599999999999994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2.98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JCxzommMFhz7ydCXhgNu+1/g5sAlTnmNY11/K2Hqbho7H5nLztrTSPkpcGM977igKFMncjPaCjhEnBaIbv0W2w==" saltValue="XSYswPj2zE+ySz5PgKlQsw==" spinCount="100000" sheet="1" objects="1" scenarios="1"/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3">
    <dataValidation type="list" allowBlank="1" showInputMessage="1" showErrorMessage="1" sqref="H7:I7" xr:uid="{73C6614F-CBC7-42E4-8CB3-35394FDAB2BC}">
      <formula1>"Male, Female"</formula1>
    </dataValidation>
    <dataValidation type="list" allowBlank="1" showInputMessage="1" showErrorMessage="1" sqref="A12:B12" xr:uid="{5A5C716C-F1E6-4CF2-A257-E8AC2207679A}">
      <formula1>INDIRECT(A10)</formula1>
    </dataValidation>
    <dataValidation type="custom" allowBlank="1" showInputMessage="1" showErrorMessage="1" sqref="A8:B8" xr:uid="{6B616E0F-C929-4963-95A9-1B285DC3122A}">
      <formula1>AND(ISNUMBER(A8), A8 = INT(A8), LEN(A8) = 6)</formula1>
    </dataValidation>
  </dataValidations>
  <hyperlinks>
    <hyperlink ref="D13" r:id="rId1" display="shanty@gmail.com" xr:uid="{C70303BC-8309-4617-9173-8DBD28BF5A75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54275" r:id="rId5" name="lblEvaluate">
          <controlPr defaultSize="0" autoLine="0" r:id="rId6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54275" r:id="rId5" name="lblEvalu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5EB6-22B6-4B9F-99D4-5354E0999C31}">
  <sheetPr codeName="Sheet18"/>
  <dimension ref="A1:U17"/>
  <sheetViews>
    <sheetView zoomScale="145" zoomScaleNormal="145" workbookViewId="0">
      <selection activeCell="L20" sqref="L20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100017</v>
      </c>
      <c r="M2" s="21" t="str">
        <f>$D$5</f>
        <v>Mao Zedong</v>
      </c>
      <c r="N2" s="21" t="str">
        <f>$H$7</f>
        <v>Male</v>
      </c>
      <c r="O2" s="22">
        <f>$D$7</f>
        <v>35818</v>
      </c>
      <c r="P2" s="21">
        <f>$D$9</f>
        <v>923981812</v>
      </c>
      <c r="Q2" s="21" t="str">
        <f>$D$13</f>
        <v>Mao@gmail.com</v>
      </c>
      <c r="R2" s="21" t="str">
        <f>$A$12</f>
        <v>Office Manager</v>
      </c>
      <c r="S2" s="21" t="str">
        <f>$A$10</f>
        <v>Administration</v>
      </c>
      <c r="T2" s="21">
        <f>$A$14</f>
        <v>40413</v>
      </c>
      <c r="U2" s="21" t="str">
        <f>$A$16</f>
        <v>Part-Time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16</v>
      </c>
      <c r="O4" s="35">
        <v>15</v>
      </c>
      <c r="P4" s="35">
        <v>16</v>
      </c>
      <c r="Q4" s="35">
        <v>13</v>
      </c>
    </row>
    <row r="5" spans="1:21" ht="17.25" customHeight="1" x14ac:dyDescent="0.25">
      <c r="A5" s="6"/>
      <c r="B5" s="7"/>
      <c r="C5" s="13"/>
      <c r="D5" s="49" t="s">
        <v>54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17</v>
      </c>
      <c r="O5" s="35">
        <v>13</v>
      </c>
      <c r="P5" s="35">
        <v>15</v>
      </c>
      <c r="Q5" s="35">
        <v>15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15</v>
      </c>
      <c r="O6" s="35">
        <v>13</v>
      </c>
      <c r="P6" s="35">
        <v>16</v>
      </c>
      <c r="Q6" s="35">
        <v>14</v>
      </c>
    </row>
    <row r="7" spans="1:21" x14ac:dyDescent="0.25">
      <c r="A7" s="47" t="s">
        <v>4</v>
      </c>
      <c r="B7" s="48"/>
      <c r="C7" s="13"/>
      <c r="D7" s="63">
        <v>35818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19</v>
      </c>
      <c r="O7" s="35">
        <v>22</v>
      </c>
      <c r="P7" s="35">
        <v>19</v>
      </c>
      <c r="Q7" s="35">
        <v>12</v>
      </c>
    </row>
    <row r="8" spans="1:21" x14ac:dyDescent="0.25">
      <c r="A8" s="41">
        <v>100017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923981812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24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67</v>
      </c>
      <c r="O10" s="40">
        <v>250</v>
      </c>
      <c r="P10" s="39" t="s">
        <v>37</v>
      </c>
      <c r="Q10" s="33">
        <v>60</v>
      </c>
    </row>
    <row r="11" spans="1:21" x14ac:dyDescent="0.25">
      <c r="A11" s="47" t="s">
        <v>9</v>
      </c>
      <c r="B11" s="48"/>
      <c r="C11" s="13"/>
      <c r="D11" s="49" t="s">
        <v>56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63</v>
      </c>
      <c r="O11" s="40" t="s">
        <v>47</v>
      </c>
      <c r="P11" s="39" t="s">
        <v>38</v>
      </c>
      <c r="Q11" s="33">
        <v>60</v>
      </c>
    </row>
    <row r="12" spans="1:21" x14ac:dyDescent="0.25">
      <c r="A12" s="41" t="s">
        <v>57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66</v>
      </c>
      <c r="O12" s="40">
        <v>12.5</v>
      </c>
      <c r="P12" s="39" t="s">
        <v>39</v>
      </c>
      <c r="Q12" s="33">
        <v>58</v>
      </c>
    </row>
    <row r="13" spans="1:21" x14ac:dyDescent="0.25">
      <c r="A13" s="47" t="s">
        <v>11</v>
      </c>
      <c r="B13" s="48"/>
      <c r="C13" s="13"/>
      <c r="D13" s="65" t="s">
        <v>58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54</v>
      </c>
      <c r="O13" s="40" t="s">
        <v>48</v>
      </c>
      <c r="P13" s="39" t="s">
        <v>40</v>
      </c>
      <c r="Q13" s="33">
        <v>72</v>
      </c>
    </row>
    <row r="14" spans="1:21" x14ac:dyDescent="0.25">
      <c r="A14" s="54">
        <v>40413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64.300000000000011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59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3.2150000000000003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D1WPHnBGatz/ynRYLVCHk/LDp5v1YemuGp0m6bxTdmJBXGdoms6WLpjTvgggjQUG9qhTON9EWqisILMg2j2GHw==" saltValue="KVwo0En5E0gXaOdSD+eiCg==" spinCount="100000" sheet="1" objects="1" scenarios="1"/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3">
    <dataValidation type="list" allowBlank="1" showInputMessage="1" showErrorMessage="1" sqref="H7:I7" xr:uid="{A499D947-C38A-42C4-A554-D8531982AEA6}">
      <formula1>"Male, Female"</formula1>
    </dataValidation>
    <dataValidation type="list" allowBlank="1" showInputMessage="1" showErrorMessage="1" sqref="A12:B12" xr:uid="{C32B5384-CF01-439C-95D2-A78664EE83F4}">
      <formula1>INDIRECT(A10)</formula1>
    </dataValidation>
    <dataValidation type="custom" allowBlank="1" showInputMessage="1" showErrorMessage="1" sqref="A8:B8" xr:uid="{9A64F758-06DD-405E-B807-F4CBBBDC9B6E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5300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55300" r:id="rId4" name="lblEvalu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798B3-20F4-4EE1-A091-303E6940E2B0}">
  <sheetPr codeName="Sheet19"/>
  <dimension ref="A1:U17"/>
  <sheetViews>
    <sheetView zoomScale="145" zoomScaleNormal="14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100018</v>
      </c>
      <c r="M2" s="21" t="str">
        <f>$D$5</f>
        <v>Joseph Stalin</v>
      </c>
      <c r="N2" s="21" t="str">
        <f>$H$7</f>
        <v>Male</v>
      </c>
      <c r="O2" s="22">
        <f>$D$7</f>
        <v>31930</v>
      </c>
      <c r="P2" s="21">
        <f>$D$9</f>
        <v>9486218264</v>
      </c>
      <c r="Q2" s="21" t="str">
        <f>$D$13</f>
        <v>Stalin@gmail.com</v>
      </c>
      <c r="R2" s="21" t="str">
        <f>$A$12</f>
        <v>Quality Specialist</v>
      </c>
      <c r="S2" s="21" t="str">
        <f>$A$10</f>
        <v>Operations</v>
      </c>
      <c r="T2" s="21">
        <f>$A$14</f>
        <v>39996</v>
      </c>
      <c r="U2" s="21" t="str">
        <f>$A$16</f>
        <v>Part-Time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17</v>
      </c>
      <c r="O4" s="35">
        <v>18</v>
      </c>
      <c r="P4" s="35">
        <v>11</v>
      </c>
      <c r="Q4" s="35">
        <v>14</v>
      </c>
    </row>
    <row r="5" spans="1:21" ht="17.25" customHeight="1" x14ac:dyDescent="0.25">
      <c r="A5" s="6"/>
      <c r="B5" s="7"/>
      <c r="C5" s="13"/>
      <c r="D5" s="49" t="s">
        <v>60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13</v>
      </c>
      <c r="O5" s="35">
        <v>19</v>
      </c>
      <c r="P5" s="35">
        <v>16</v>
      </c>
      <c r="Q5" s="35">
        <v>11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18</v>
      </c>
      <c r="O6" s="35">
        <v>13</v>
      </c>
      <c r="P6" s="35">
        <v>15</v>
      </c>
      <c r="Q6" s="35">
        <v>15</v>
      </c>
    </row>
    <row r="7" spans="1:21" x14ac:dyDescent="0.25">
      <c r="A7" s="47" t="s">
        <v>4</v>
      </c>
      <c r="B7" s="48"/>
      <c r="C7" s="13"/>
      <c r="D7" s="63">
        <v>31930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22</v>
      </c>
      <c r="O7" s="35">
        <v>20</v>
      </c>
      <c r="P7" s="35">
        <v>16</v>
      </c>
      <c r="Q7" s="35">
        <v>18</v>
      </c>
    </row>
    <row r="8" spans="1:21" x14ac:dyDescent="0.25">
      <c r="A8" s="41">
        <v>100018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9486218264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15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70</v>
      </c>
      <c r="O10" s="40">
        <v>256</v>
      </c>
      <c r="P10" s="39" t="s">
        <v>37</v>
      </c>
      <c r="Q10" s="33">
        <v>60</v>
      </c>
    </row>
    <row r="11" spans="1:21" x14ac:dyDescent="0.25">
      <c r="A11" s="47" t="s">
        <v>9</v>
      </c>
      <c r="B11" s="48"/>
      <c r="C11" s="13"/>
      <c r="D11" s="49" t="s">
        <v>61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70</v>
      </c>
      <c r="O11" s="40" t="s">
        <v>47</v>
      </c>
      <c r="P11" s="39" t="s">
        <v>38</v>
      </c>
      <c r="Q11" s="33">
        <v>59</v>
      </c>
    </row>
    <row r="12" spans="1:21" x14ac:dyDescent="0.25">
      <c r="A12" s="41" t="s">
        <v>62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58</v>
      </c>
      <c r="O12" s="40">
        <v>12.8</v>
      </c>
      <c r="P12" s="39" t="s">
        <v>39</v>
      </c>
      <c r="Q12" s="33">
        <v>61</v>
      </c>
    </row>
    <row r="13" spans="1:21" x14ac:dyDescent="0.25">
      <c r="A13" s="47" t="s">
        <v>11</v>
      </c>
      <c r="B13" s="48"/>
      <c r="C13" s="13"/>
      <c r="D13" s="65" t="s">
        <v>63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58</v>
      </c>
      <c r="O13" s="40" t="s">
        <v>48</v>
      </c>
      <c r="P13" s="39" t="s">
        <v>40</v>
      </c>
      <c r="Q13" s="33">
        <v>76</v>
      </c>
    </row>
    <row r="14" spans="1:21" x14ac:dyDescent="0.25">
      <c r="A14" s="54">
        <v>39996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66.400000000000006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59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3.3200000000000003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mergeCells count="22">
    <mergeCell ref="M1:Q1"/>
    <mergeCell ref="A16:B16"/>
    <mergeCell ref="A12:B12"/>
    <mergeCell ref="D12:E12"/>
    <mergeCell ref="A13:B13"/>
    <mergeCell ref="D13:G13"/>
    <mergeCell ref="A14:B14"/>
    <mergeCell ref="A15:B15"/>
    <mergeCell ref="A11:B11"/>
    <mergeCell ref="D11:J11"/>
    <mergeCell ref="D1:J1"/>
    <mergeCell ref="E4:J4"/>
    <mergeCell ref="D5:J5"/>
    <mergeCell ref="A6:B6"/>
    <mergeCell ref="A7:B7"/>
    <mergeCell ref="D7:F7"/>
    <mergeCell ref="A10:B10"/>
    <mergeCell ref="H7:I7"/>
    <mergeCell ref="A8:B8"/>
    <mergeCell ref="D8:E8"/>
    <mergeCell ref="A9:B9"/>
    <mergeCell ref="D9:F9"/>
  </mergeCells>
  <dataValidations count="3">
    <dataValidation type="list" allowBlank="1" showInputMessage="1" showErrorMessage="1" sqref="H7:I7" xr:uid="{6D4A690D-7231-4324-AC69-763AC650A289}">
      <formula1>"Male, Female"</formula1>
    </dataValidation>
    <dataValidation type="list" allowBlank="1" showInputMessage="1" showErrorMessage="1" sqref="A12:B12" xr:uid="{088E237B-6CD4-458B-92C6-124E1C4DF6AA}">
      <formula1>INDIRECT(A10)</formula1>
    </dataValidation>
    <dataValidation type="custom" allowBlank="1" showInputMessage="1" showErrorMessage="1" sqref="A8:B8" xr:uid="{40A53342-7972-4037-B74F-7DF09DF0FC40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7347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57347" r:id="rId4" name="lblEvalu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6329-B69B-4F05-B8B7-5F3759727C9C}">
  <sheetPr codeName="Sheet20"/>
  <dimension ref="A1:U17"/>
  <sheetViews>
    <sheetView zoomScale="190" zoomScaleNormal="190" workbookViewId="0">
      <selection activeCell="M3" sqref="M3:Q16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100019</v>
      </c>
      <c r="M2" s="21" t="str">
        <f>$D$5</f>
        <v>Agatha Christie</v>
      </c>
      <c r="N2" s="21" t="str">
        <f>$H$7</f>
        <v>Female</v>
      </c>
      <c r="O2" s="22">
        <f>$D$7</f>
        <v>25549</v>
      </c>
      <c r="P2" s="21">
        <f>$D$9</f>
        <v>9219201829</v>
      </c>
      <c r="Q2" s="21" t="str">
        <f>$D$13</f>
        <v>Aga@gmail.com</v>
      </c>
      <c r="R2" s="21" t="str">
        <f>$A$12</f>
        <v>CS Manager</v>
      </c>
      <c r="S2" s="21" t="str">
        <f>$A$10</f>
        <v>Customer_Service</v>
      </c>
      <c r="T2" s="21">
        <f>$A$14</f>
        <v>30339</v>
      </c>
      <c r="U2" s="21" t="str">
        <f>$A$16</f>
        <v>Part-Time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13</v>
      </c>
      <c r="O4" s="35">
        <v>14</v>
      </c>
      <c r="P4" s="35">
        <v>19</v>
      </c>
      <c r="Q4" s="35">
        <v>10</v>
      </c>
    </row>
    <row r="5" spans="1:21" ht="17.25" customHeight="1" x14ac:dyDescent="0.25">
      <c r="A5" s="6"/>
      <c r="B5" s="7"/>
      <c r="C5" s="13"/>
      <c r="D5" s="49" t="s">
        <v>64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15</v>
      </c>
      <c r="O5" s="35">
        <v>19</v>
      </c>
      <c r="P5" s="35">
        <v>9</v>
      </c>
      <c r="Q5" s="35">
        <v>22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13</v>
      </c>
      <c r="O6" s="35">
        <v>11</v>
      </c>
      <c r="P6" s="35">
        <v>18</v>
      </c>
      <c r="Q6" s="35">
        <v>20</v>
      </c>
    </row>
    <row r="7" spans="1:21" x14ac:dyDescent="0.25">
      <c r="A7" s="47" t="s">
        <v>4</v>
      </c>
      <c r="B7" s="48"/>
      <c r="C7" s="13"/>
      <c r="D7" s="63">
        <v>25549</v>
      </c>
      <c r="E7" s="50"/>
      <c r="F7" s="44"/>
      <c r="G7" s="13"/>
      <c r="H7" s="43" t="s">
        <v>21</v>
      </c>
      <c r="I7" s="44"/>
      <c r="J7" s="14"/>
      <c r="K7" s="11"/>
      <c r="L7" s="5"/>
      <c r="M7" s="33" t="s">
        <v>40</v>
      </c>
      <c r="N7" s="34">
        <v>11</v>
      </c>
      <c r="O7" s="35">
        <v>12</v>
      </c>
      <c r="P7" s="35">
        <v>10</v>
      </c>
      <c r="Q7" s="35">
        <v>16</v>
      </c>
    </row>
    <row r="8" spans="1:21" x14ac:dyDescent="0.25">
      <c r="A8" s="41">
        <v>100019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9219201829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19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52</v>
      </c>
      <c r="O10" s="40">
        <v>232</v>
      </c>
      <c r="P10" s="39" t="s">
        <v>37</v>
      </c>
      <c r="Q10" s="33">
        <v>56</v>
      </c>
    </row>
    <row r="11" spans="1:21" x14ac:dyDescent="0.25">
      <c r="A11" s="47" t="s">
        <v>9</v>
      </c>
      <c r="B11" s="48"/>
      <c r="C11" s="13"/>
      <c r="D11" s="49" t="s">
        <v>65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56</v>
      </c>
      <c r="O11" s="40" t="s">
        <v>47</v>
      </c>
      <c r="P11" s="39" t="s">
        <v>38</v>
      </c>
      <c r="Q11" s="33">
        <v>65</v>
      </c>
    </row>
    <row r="12" spans="1:21" x14ac:dyDescent="0.25">
      <c r="A12" s="41" t="s">
        <v>66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56</v>
      </c>
      <c r="O12" s="40">
        <v>11.6</v>
      </c>
      <c r="P12" s="39" t="s">
        <v>39</v>
      </c>
      <c r="Q12" s="33">
        <v>62</v>
      </c>
    </row>
    <row r="13" spans="1:21" x14ac:dyDescent="0.25">
      <c r="A13" s="47" t="s">
        <v>11</v>
      </c>
      <c r="B13" s="48"/>
      <c r="C13" s="13"/>
      <c r="D13" s="65" t="s">
        <v>67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68</v>
      </c>
      <c r="O13" s="40" t="s">
        <v>48</v>
      </c>
      <c r="P13" s="39" t="s">
        <v>40</v>
      </c>
      <c r="Q13" s="33">
        <v>49</v>
      </c>
    </row>
    <row r="14" spans="1:21" x14ac:dyDescent="0.25">
      <c r="A14" s="54">
        <v>30339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55.600000000000009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59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2.7800000000000002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PuzL2KY1AmwKdMFk9jxmvQkXrI8OGJuNW/v12NL2yc3itoII55so7FqKwXkwlSVQSjvMonBqSFoV28xF18IUrA==" saltValue="LyBQlxWCNPLcC2PDpNenvA==" spinCount="100000" sheet="1" objects="1" scenarios="1"/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operator="greaterThan" allowBlank="1" showInputMessage="1" showErrorMessage="1" errorTitle="You are too old" error="No older than 60 years old please." sqref="D7:F7" xr:uid="{DD202F05-24FA-4EE0-8F05-8AA482781C53}">
      <formula1>24088</formula1>
    </dataValidation>
    <dataValidation type="date" operator="greaterThan" allowBlank="1" showInputMessage="1" showErrorMessage="1" errorTitle="Error Date of Hire" error="Must be greatar than the foundation of the company 1980s." sqref="A14:B14" xr:uid="{63D2AA1F-E479-4531-AD9C-8BB2F46F9099}">
      <formula1>29567</formula1>
    </dataValidation>
    <dataValidation type="custom" allowBlank="1" showInputMessage="1" showErrorMessage="1" errorTitle="Enter a number." error="Numbers only" sqref="D9:F9" xr:uid="{592F9888-A001-41E9-A37A-0EA31F6AD7A4}">
      <formula1>ISNUMBER(D9)</formula1>
    </dataValidation>
    <dataValidation type="list" allowBlank="1" showInputMessage="1" showErrorMessage="1" sqref="H7:I7" xr:uid="{D1F5661A-386C-4137-9518-D37C3429F0F2}">
      <formula1>"Male, Female"</formula1>
    </dataValidation>
    <dataValidation type="list" allowBlank="1" showInputMessage="1" showErrorMessage="1" sqref="A12:B12" xr:uid="{64B111B9-11F4-4AC3-8AD5-DD1552F8CB5E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6C5B6AFE-C6F8-4B63-ABAB-048B254994F8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8371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58371" r:id="rId4" name="lblEvaluat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E0D9C-CC2B-463E-8969-38FA797BDBD1}">
  <sheetPr codeName="Sheet21"/>
  <dimension ref="A1:U17"/>
  <sheetViews>
    <sheetView zoomScale="160" zoomScaleNormal="160" workbookViewId="0">
      <selection activeCell="J18" sqref="J18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100020</v>
      </c>
      <c r="M2" s="21" t="str">
        <f>$D$5</f>
        <v>Vladimir Putin</v>
      </c>
      <c r="N2" s="21" t="str">
        <f>$H$7</f>
        <v>Male</v>
      </c>
      <c r="O2" s="22">
        <f>$D$7</f>
        <v>37491</v>
      </c>
      <c r="P2" s="21">
        <f>$D$9</f>
        <v>928371632</v>
      </c>
      <c r="Q2" s="21" t="str">
        <f>$D$13</f>
        <v>Putin@gmail.com</v>
      </c>
      <c r="R2" s="21" t="str">
        <f>$A$12</f>
        <v>Accountant</v>
      </c>
      <c r="S2" s="21" t="str">
        <f>$A$10</f>
        <v>Finance</v>
      </c>
      <c r="T2" s="21">
        <f>$A$14</f>
        <v>37510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15</v>
      </c>
      <c r="O4" s="35">
        <v>11</v>
      </c>
      <c r="P4" s="35">
        <v>14</v>
      </c>
      <c r="Q4" s="35">
        <v>8</v>
      </c>
    </row>
    <row r="5" spans="1:21" ht="17.25" customHeight="1" x14ac:dyDescent="0.25">
      <c r="A5" s="6"/>
      <c r="B5" s="7"/>
      <c r="C5" s="13"/>
      <c r="D5" s="49" t="s">
        <v>68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18</v>
      </c>
      <c r="O5" s="35">
        <v>14</v>
      </c>
      <c r="P5" s="35">
        <v>14</v>
      </c>
      <c r="Q5" s="35">
        <v>11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13</v>
      </c>
      <c r="O6" s="35">
        <v>18</v>
      </c>
      <c r="P6" s="35">
        <v>18</v>
      </c>
      <c r="Q6" s="35">
        <v>11</v>
      </c>
    </row>
    <row r="7" spans="1:21" x14ac:dyDescent="0.25">
      <c r="A7" s="47" t="s">
        <v>4</v>
      </c>
      <c r="B7" s="48"/>
      <c r="C7" s="13"/>
      <c r="D7" s="63">
        <v>37491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17</v>
      </c>
      <c r="O7" s="35">
        <v>16</v>
      </c>
      <c r="P7" s="35">
        <v>14</v>
      </c>
      <c r="Q7" s="35">
        <v>15</v>
      </c>
    </row>
    <row r="8" spans="1:21" x14ac:dyDescent="0.25">
      <c r="A8" s="41">
        <v>100020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928371632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17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63</v>
      </c>
      <c r="O10" s="40">
        <v>227</v>
      </c>
      <c r="P10" s="39" t="s">
        <v>37</v>
      </c>
      <c r="Q10" s="33">
        <v>48</v>
      </c>
    </row>
    <row r="11" spans="1:21" x14ac:dyDescent="0.25">
      <c r="A11" s="47" t="s">
        <v>9</v>
      </c>
      <c r="B11" s="48"/>
      <c r="C11" s="13"/>
      <c r="D11" s="49" t="s">
        <v>69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59</v>
      </c>
      <c r="O11" s="40" t="s">
        <v>47</v>
      </c>
      <c r="P11" s="39" t="s">
        <v>38</v>
      </c>
      <c r="Q11" s="33">
        <v>57</v>
      </c>
    </row>
    <row r="12" spans="1:21" x14ac:dyDescent="0.25">
      <c r="A12" s="41" t="s">
        <v>18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60</v>
      </c>
      <c r="O12" s="40">
        <v>11.35</v>
      </c>
      <c r="P12" s="39" t="s">
        <v>39</v>
      </c>
      <c r="Q12" s="33">
        <v>60</v>
      </c>
    </row>
    <row r="13" spans="1:21" x14ac:dyDescent="0.25">
      <c r="A13" s="47" t="s">
        <v>11</v>
      </c>
      <c r="B13" s="48"/>
      <c r="C13" s="13"/>
      <c r="D13" s="65" t="s">
        <v>70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45</v>
      </c>
      <c r="O13" s="40" t="s">
        <v>48</v>
      </c>
      <c r="P13" s="39" t="s">
        <v>40</v>
      </c>
      <c r="Q13" s="33">
        <v>62</v>
      </c>
    </row>
    <row r="14" spans="1:21" x14ac:dyDescent="0.25">
      <c r="A14" s="54">
        <v>37510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59.400000000000006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2.9700000000000006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6">
    <dataValidation type="date" allowBlank="1" showInputMessage="1" showErrorMessage="1" errorTitle="Invalid date" error="You should be between 18 and 60 years old." prompt="Between 60 and 18 years old." sqref="D7:F7" xr:uid="{5760C83C-CCEF-4DB2-A4E1-0CEF1999CF58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2E1F92FF-6A2B-4BDE-B5C1-7392E20ED2DC}">
      <formula1>D7+6570</formula1>
    </dataValidation>
    <dataValidation type="custom" allowBlank="1" showInputMessage="1" showErrorMessage="1" errorTitle="Enter a number." error="Numbers only" sqref="D9:F9" xr:uid="{C553C14B-F06D-48DA-8DD3-60AA6FADC0CB}">
      <formula1>ISNUMBER(D9)</formula1>
    </dataValidation>
    <dataValidation type="list" allowBlank="1" showInputMessage="1" showErrorMessage="1" sqref="H7:I7" xr:uid="{AE609BD4-30FC-40B0-B7B7-7591236E6480}">
      <formula1>"Male, Female"</formula1>
    </dataValidation>
    <dataValidation type="list" allowBlank="1" showInputMessage="1" showErrorMessage="1" sqref="A12:B12" xr:uid="{0C0920FA-023A-4C5C-86BC-A0B86B1F0B51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A17DA1E6-0713-4665-8EF3-C410BF675409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9395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59395" r:id="rId4" name="lblEvalu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FCB1C-678B-411B-BFF5-3986F186FF60}">
  <sheetPr codeName="Sheet22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100021</v>
      </c>
      <c r="M2" s="21" t="str">
        <f>$D$5</f>
        <v>Angela Davis</v>
      </c>
      <c r="N2" s="21" t="str">
        <f>$H$7</f>
        <v>Female</v>
      </c>
      <c r="O2" s="22">
        <f>$D$7</f>
        <v>36606</v>
      </c>
      <c r="P2" s="21">
        <f>$D$9</f>
        <v>929182731</v>
      </c>
      <c r="Q2" s="21" t="str">
        <f>$D$13</f>
        <v>davis@gmail.com</v>
      </c>
      <c r="R2" s="21" t="str">
        <f>$A$12</f>
        <v>HR Coordinator</v>
      </c>
      <c r="S2" s="21" t="str">
        <f>$A$10</f>
        <v>Human_Resource</v>
      </c>
      <c r="T2" s="21">
        <f>$A$14</f>
        <v>43499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10</v>
      </c>
      <c r="O4" s="35">
        <v>14</v>
      </c>
      <c r="P4" s="35">
        <v>9</v>
      </c>
      <c r="Q4" s="35">
        <v>12</v>
      </c>
    </row>
    <row r="5" spans="1:21" ht="17.25" customHeight="1" x14ac:dyDescent="0.25">
      <c r="A5" s="6"/>
      <c r="B5" s="7"/>
      <c r="C5" s="13"/>
      <c r="D5" s="49" t="s">
        <v>71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10</v>
      </c>
      <c r="O5" s="35">
        <v>10</v>
      </c>
      <c r="P5" s="35">
        <v>17</v>
      </c>
      <c r="Q5" s="35">
        <v>18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17</v>
      </c>
      <c r="O6" s="35">
        <v>15</v>
      </c>
      <c r="P6" s="35">
        <v>15</v>
      </c>
      <c r="Q6" s="35">
        <v>14</v>
      </c>
    </row>
    <row r="7" spans="1:21" x14ac:dyDescent="0.25">
      <c r="A7" s="47" t="s">
        <v>4</v>
      </c>
      <c r="B7" s="48"/>
      <c r="C7" s="13"/>
      <c r="D7" s="63">
        <v>36606</v>
      </c>
      <c r="E7" s="50"/>
      <c r="F7" s="44"/>
      <c r="G7" s="13"/>
      <c r="H7" s="43" t="s">
        <v>21</v>
      </c>
      <c r="I7" s="44"/>
      <c r="J7" s="14"/>
      <c r="K7" s="11"/>
      <c r="L7" s="5"/>
      <c r="M7" s="33" t="s">
        <v>40</v>
      </c>
      <c r="N7" s="34">
        <v>16</v>
      </c>
      <c r="O7" s="35">
        <v>18</v>
      </c>
      <c r="P7" s="35">
        <v>15</v>
      </c>
      <c r="Q7" s="35">
        <v>18</v>
      </c>
    </row>
    <row r="8" spans="1:21" x14ac:dyDescent="0.25">
      <c r="A8" s="41">
        <v>100021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929182731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22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53</v>
      </c>
      <c r="O10" s="40">
        <v>228</v>
      </c>
      <c r="P10" s="39" t="s">
        <v>37</v>
      </c>
      <c r="Q10" s="33">
        <v>45</v>
      </c>
    </row>
    <row r="11" spans="1:21" x14ac:dyDescent="0.25">
      <c r="A11" s="47" t="s">
        <v>9</v>
      </c>
      <c r="B11" s="48"/>
      <c r="C11" s="13"/>
      <c r="D11" s="49" t="s">
        <v>72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57</v>
      </c>
      <c r="O11" s="40" t="s">
        <v>47</v>
      </c>
      <c r="P11" s="39" t="s">
        <v>38</v>
      </c>
      <c r="Q11" s="33">
        <v>55</v>
      </c>
    </row>
    <row r="12" spans="1:21" x14ac:dyDescent="0.25">
      <c r="A12" s="41" t="s">
        <v>73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56</v>
      </c>
      <c r="O12" s="40">
        <v>11.4</v>
      </c>
      <c r="P12" s="39" t="s">
        <v>39</v>
      </c>
      <c r="Q12" s="33">
        <v>61</v>
      </c>
    </row>
    <row r="13" spans="1:21" x14ac:dyDescent="0.25">
      <c r="A13" s="47" t="s">
        <v>11</v>
      </c>
      <c r="B13" s="48"/>
      <c r="C13" s="13"/>
      <c r="D13" s="65" t="s">
        <v>74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62</v>
      </c>
      <c r="O13" s="40" t="s">
        <v>48</v>
      </c>
      <c r="P13" s="39" t="s">
        <v>40</v>
      </c>
      <c r="Q13" s="33">
        <v>67</v>
      </c>
    </row>
    <row r="14" spans="1:21" x14ac:dyDescent="0.25">
      <c r="A14" s="54">
        <v>43499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55.7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2.7850000000000001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roWfETYpmAlTBVz4wwHIgGlW9DcVjSAH2lcMNo8CMi8fBr8C92WvaPj2JjlIhVjye5XLkfWajCA3JdUW3xDnZQ==" saltValue="Oz6zJ9/koFBI4rWRHKblRg==" spinCount="100000" sheet="1" objects="1" scenarios="1"/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6">
    <dataValidation type="date" allowBlank="1" showInputMessage="1" showErrorMessage="1" errorTitle="Invalid date" error="You should be between 18 and 60 years old." prompt="Between 18 and 60 years old." sqref="D7:F7" xr:uid="{7D5997C0-D2F6-4448-AD77-4016BE117794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47F4F619-5AC1-44B1-A86D-CCEAADE1405C}">
      <formula1>D7+6570</formula1>
    </dataValidation>
    <dataValidation type="custom" allowBlank="1" showInputMessage="1" showErrorMessage="1" errorTitle="Enter a number." error="Numbers only" sqref="D9:F9" xr:uid="{C96D05EC-137D-4AB0-BD84-27489ADF061C}">
      <formula1>ISNUMBER(D9)</formula1>
    </dataValidation>
    <dataValidation type="list" allowBlank="1" showInputMessage="1" showErrorMessage="1" sqref="H7:I7" xr:uid="{590D2552-4785-414C-A31D-53772A457CE8}">
      <formula1>"Male, Female"</formula1>
    </dataValidation>
    <dataValidation type="list" allowBlank="1" showInputMessage="1" showErrorMessage="1" sqref="A12:B12" xr:uid="{E2464CC4-A223-40A2-A1C4-FAFA7F3049F4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C9607818-112E-42CB-AD70-511E106CC334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0419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0419" r:id="rId4" name="lblEvalu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BCC8D-60F4-4213-9E1C-58ADD8B5B1A8}">
  <sheetPr codeName="Sheet23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100022</v>
      </c>
      <c r="M2" s="21" t="str">
        <f>$D$5</f>
        <v>Nelson Mandela</v>
      </c>
      <c r="N2" s="21" t="str">
        <f>$H$7</f>
        <v>Male</v>
      </c>
      <c r="O2" s="22">
        <f>$D$7</f>
        <v>27474</v>
      </c>
      <c r="P2" s="21">
        <f>$D$9</f>
        <v>9837128182</v>
      </c>
      <c r="Q2" s="21" t="str">
        <f>$D$13</f>
        <v>Mandela@gmail.com</v>
      </c>
      <c r="R2" s="21" t="str">
        <f>$A$12</f>
        <v>Payroll Specialist</v>
      </c>
      <c r="S2" s="21" t="str">
        <f>$A$10</f>
        <v>Finance</v>
      </c>
      <c r="T2" s="21">
        <f>$A$14</f>
        <v>35816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19</v>
      </c>
      <c r="O4" s="35">
        <v>13</v>
      </c>
      <c r="P4" s="35">
        <v>18</v>
      </c>
      <c r="Q4" s="35">
        <v>18</v>
      </c>
    </row>
    <row r="5" spans="1:21" ht="17.25" customHeight="1" x14ac:dyDescent="0.25">
      <c r="A5" s="6"/>
      <c r="B5" s="7"/>
      <c r="C5" s="13"/>
      <c r="D5" s="49" t="s">
        <v>75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21</v>
      </c>
      <c r="O5" s="35">
        <v>10</v>
      </c>
      <c r="P5" s="35">
        <v>18</v>
      </c>
      <c r="Q5" s="35">
        <v>20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16</v>
      </c>
      <c r="O6" s="35">
        <v>21</v>
      </c>
      <c r="P6" s="35">
        <v>16</v>
      </c>
      <c r="Q6" s="35">
        <v>16</v>
      </c>
    </row>
    <row r="7" spans="1:21" x14ac:dyDescent="0.25">
      <c r="A7" s="47" t="s">
        <v>4</v>
      </c>
      <c r="B7" s="48"/>
      <c r="C7" s="13"/>
      <c r="D7" s="63">
        <v>27474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15</v>
      </c>
      <c r="O7" s="35">
        <v>12</v>
      </c>
      <c r="P7" s="35">
        <v>16</v>
      </c>
      <c r="Q7" s="35">
        <v>14</v>
      </c>
    </row>
    <row r="8" spans="1:21" x14ac:dyDescent="0.25">
      <c r="A8" s="41">
        <v>100022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9837128182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17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71</v>
      </c>
      <c r="O10" s="40">
        <v>263</v>
      </c>
      <c r="P10" s="39" t="s">
        <v>37</v>
      </c>
      <c r="Q10" s="33">
        <v>68</v>
      </c>
    </row>
    <row r="11" spans="1:21" x14ac:dyDescent="0.25">
      <c r="A11" s="47" t="s">
        <v>9</v>
      </c>
      <c r="B11" s="48"/>
      <c r="C11" s="13"/>
      <c r="D11" s="49" t="s">
        <v>76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56</v>
      </c>
      <c r="O11" s="40" t="s">
        <v>47</v>
      </c>
      <c r="P11" s="39" t="s">
        <v>38</v>
      </c>
      <c r="Q11" s="33">
        <v>69</v>
      </c>
    </row>
    <row r="12" spans="1:21" x14ac:dyDescent="0.25">
      <c r="A12" s="41" t="s">
        <v>77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68</v>
      </c>
      <c r="O12" s="40">
        <v>13.15</v>
      </c>
      <c r="P12" s="39" t="s">
        <v>39</v>
      </c>
      <c r="Q12" s="33">
        <v>69</v>
      </c>
    </row>
    <row r="13" spans="1:21" x14ac:dyDescent="0.25">
      <c r="A13" s="47" t="s">
        <v>11</v>
      </c>
      <c r="B13" s="48"/>
      <c r="C13" s="13"/>
      <c r="D13" s="65" t="s">
        <v>78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68</v>
      </c>
      <c r="O13" s="40" t="s">
        <v>48</v>
      </c>
      <c r="P13" s="39" t="s">
        <v>40</v>
      </c>
      <c r="Q13" s="33">
        <v>57</v>
      </c>
    </row>
    <row r="14" spans="1:21" x14ac:dyDescent="0.25">
      <c r="A14" s="54">
        <v>35816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65.600000000000009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3.2800000000000002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allowBlank="1" showInputMessage="1" showErrorMessage="1" errorTitle="Invalid date" error="You should be between 18 and 60 years old." prompt="Between 18 and 60 years old." sqref="D7:F7" xr:uid="{3FCBD562-482E-4FBC-B977-445727CBDB7C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B078F60D-D95B-45EA-A53F-1253EA548879}">
      <formula1>D7+6570</formula1>
    </dataValidation>
    <dataValidation type="custom" allowBlank="1" showInputMessage="1" showErrorMessage="1" errorTitle="Enter a number." error="Numbers only" sqref="D9:F9" xr:uid="{935F38B6-CD5C-43A1-8DFD-9B394CC637D6}">
      <formula1>ISNUMBER(D9)</formula1>
    </dataValidation>
    <dataValidation type="list" allowBlank="1" showInputMessage="1" showErrorMessage="1" sqref="H7:I7" xr:uid="{1B2EFE3A-7C49-4802-8775-7D4CF2196340}">
      <formula1>"Male, Female"</formula1>
    </dataValidation>
    <dataValidation type="list" allowBlank="1" showInputMessage="1" showErrorMessage="1" sqref="A12:B12" xr:uid="{01565E1F-7239-4398-BCF0-442A469C2ABB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313BC936-DCCC-4F78-860B-176C7EE4BC67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43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1443" r:id="rId4" name="lblEvalu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7E15-A858-4A34-806A-8B99B49E12DB}">
  <sheetPr codeName="Sheet24"/>
  <dimension ref="A1:U17"/>
  <sheetViews>
    <sheetView topLeftCell="I1"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100023</v>
      </c>
      <c r="M2" s="21" t="str">
        <f>$D$5</f>
        <v>Friedrich Nietzsche</v>
      </c>
      <c r="N2" s="21" t="str">
        <f>$H$7</f>
        <v>Male</v>
      </c>
      <c r="O2" s="22">
        <f>$D$7</f>
        <v>27840</v>
      </c>
      <c r="P2" s="21">
        <f>$D$9</f>
        <v>948282612</v>
      </c>
      <c r="Q2" s="21" t="str">
        <f>$D$13</f>
        <v>rich@gmail.com</v>
      </c>
      <c r="R2" s="21" t="str">
        <f>$A$12</f>
        <v>Project Manager</v>
      </c>
      <c r="S2" s="21" t="str">
        <f>$A$10</f>
        <v>Operations</v>
      </c>
      <c r="T2" s="21">
        <f>$A$14</f>
        <v>35817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13</v>
      </c>
      <c r="O4" s="35">
        <v>20</v>
      </c>
      <c r="P4" s="35">
        <v>15</v>
      </c>
      <c r="Q4" s="35">
        <v>18</v>
      </c>
    </row>
    <row r="5" spans="1:21" ht="17.25" customHeight="1" x14ac:dyDescent="0.25">
      <c r="A5" s="6"/>
      <c r="B5" s="7"/>
      <c r="C5" s="13"/>
      <c r="D5" s="49" t="s">
        <v>79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12</v>
      </c>
      <c r="O5" s="35">
        <v>17</v>
      </c>
      <c r="P5" s="35">
        <v>16</v>
      </c>
      <c r="Q5" s="35">
        <v>12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15</v>
      </c>
      <c r="O6" s="35">
        <v>17</v>
      </c>
      <c r="P6" s="35">
        <v>15</v>
      </c>
      <c r="Q6" s="35">
        <v>12</v>
      </c>
    </row>
    <row r="7" spans="1:21" x14ac:dyDescent="0.25">
      <c r="A7" s="47" t="s">
        <v>4</v>
      </c>
      <c r="B7" s="48"/>
      <c r="C7" s="13"/>
      <c r="D7" s="63">
        <v>27840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12</v>
      </c>
      <c r="O7" s="35">
        <v>16</v>
      </c>
      <c r="P7" s="35">
        <v>15</v>
      </c>
      <c r="Q7" s="35">
        <v>22</v>
      </c>
    </row>
    <row r="8" spans="1:21" x14ac:dyDescent="0.25">
      <c r="A8" s="41">
        <v>100023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948282612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15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52</v>
      </c>
      <c r="O10" s="40">
        <v>247</v>
      </c>
      <c r="P10" s="39" t="s">
        <v>37</v>
      </c>
      <c r="Q10" s="33">
        <v>66</v>
      </c>
    </row>
    <row r="11" spans="1:21" x14ac:dyDescent="0.25">
      <c r="A11" s="47" t="s">
        <v>9</v>
      </c>
      <c r="B11" s="48"/>
      <c r="C11" s="13"/>
      <c r="D11" s="49" t="s">
        <v>80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70</v>
      </c>
      <c r="O11" s="40" t="s">
        <v>47</v>
      </c>
      <c r="P11" s="39" t="s">
        <v>38</v>
      </c>
      <c r="Q11" s="33">
        <v>57</v>
      </c>
    </row>
    <row r="12" spans="1:21" x14ac:dyDescent="0.25">
      <c r="A12" s="41" t="s">
        <v>81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61</v>
      </c>
      <c r="O12" s="40">
        <v>12.349999999999998</v>
      </c>
      <c r="P12" s="39" t="s">
        <v>39</v>
      </c>
      <c r="Q12" s="33">
        <v>59</v>
      </c>
    </row>
    <row r="13" spans="1:21" x14ac:dyDescent="0.25">
      <c r="A13" s="47" t="s">
        <v>11</v>
      </c>
      <c r="B13" s="48"/>
      <c r="C13" s="13"/>
      <c r="D13" s="65" t="s">
        <v>82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64</v>
      </c>
      <c r="O13" s="40" t="s">
        <v>48</v>
      </c>
      <c r="P13" s="39" t="s">
        <v>40</v>
      </c>
      <c r="Q13" s="33">
        <v>65</v>
      </c>
    </row>
    <row r="14" spans="1:21" x14ac:dyDescent="0.25">
      <c r="A14" s="54">
        <v>35817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60.4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3.02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Wq1Vr/J8SOv2Cl7Y+ZW2C7uvlj69raikRat0eoTNem9mEHebBcHu72BxXNRWJuJklmh2QJvKXz3pHU70t3eZRw==" saltValue="AI6gjfiM2ywv+kJOnQ+7gA==" spinCount="100000" sheet="1" objects="1" scenarios="1"/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6">
    <dataValidation type="date" allowBlank="1" showInputMessage="1" showErrorMessage="1" errorTitle="Invalid date" error="You should be between 18 and 60 years old." prompt="Between 18 and 60 years old." sqref="D7:F7" xr:uid="{4326E490-7F59-4A91-B37A-E701A7D86D2A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3F515861-63D8-4923-8A50-7E2A87428A98}">
      <formula1>D7+6570</formula1>
    </dataValidation>
    <dataValidation type="custom" allowBlank="1" showInputMessage="1" showErrorMessage="1" errorTitle="Enter a number." error="Numbers only" sqref="D9:F9" xr:uid="{D81251E1-A96B-4799-A9A2-DDCB0BA29F46}">
      <formula1>ISNUMBER(D9)</formula1>
    </dataValidation>
    <dataValidation type="list" allowBlank="1" showInputMessage="1" showErrorMessage="1" sqref="H7:I7" xr:uid="{1AF4A402-454C-467D-B26A-F4150DDB2FCA}">
      <formula1>"Male, Female"</formula1>
    </dataValidation>
    <dataValidation type="list" allowBlank="1" showInputMessage="1" showErrorMessage="1" sqref="A12:B12" xr:uid="{9ED4EBC5-E30F-4149-AF6E-3A43B7D950C3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A952E8EC-62A4-4C36-BDE3-6883AA1D562A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2468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2468" r:id="rId4" name="lblEvaluat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4E75-DC61-4857-8A8E-C15DCC7339D5}">
  <sheetPr codeName="Sheet25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100024</v>
      </c>
      <c r="M2" s="21" t="str">
        <f>$D$5</f>
        <v>Immanuel Kant</v>
      </c>
      <c r="N2" s="21" t="str">
        <f>$H$7</f>
        <v>Male</v>
      </c>
      <c r="O2" s="22">
        <f>$D$7</f>
        <v>27878</v>
      </c>
      <c r="P2" s="21">
        <f>$D$9</f>
        <v>95352143567</v>
      </c>
      <c r="Q2" s="21" t="str">
        <f>$D$13</f>
        <v>kant@gmail.com</v>
      </c>
      <c r="R2" s="21" t="str">
        <f>$A$12</f>
        <v>Web Developer</v>
      </c>
      <c r="S2" s="21" t="str">
        <f>$A$10</f>
        <v>IT</v>
      </c>
      <c r="T2" s="21">
        <f>$A$14</f>
        <v>35821</v>
      </c>
      <c r="U2" s="21" t="str">
        <f>$A$16</f>
        <v>Contract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11</v>
      </c>
      <c r="O4" s="35">
        <v>11</v>
      </c>
      <c r="P4" s="35">
        <v>15</v>
      </c>
      <c r="Q4" s="35">
        <v>13</v>
      </c>
    </row>
    <row r="5" spans="1:21" ht="17.25" customHeight="1" x14ac:dyDescent="0.25">
      <c r="A5" s="6"/>
      <c r="B5" s="7"/>
      <c r="C5" s="13"/>
      <c r="D5" s="49" t="s">
        <v>83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16</v>
      </c>
      <c r="O5" s="35">
        <v>18</v>
      </c>
      <c r="P5" s="35">
        <v>16</v>
      </c>
      <c r="Q5" s="35">
        <v>18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15</v>
      </c>
      <c r="O6" s="35">
        <v>15</v>
      </c>
      <c r="P6" s="35">
        <v>18</v>
      </c>
      <c r="Q6" s="35">
        <v>15</v>
      </c>
    </row>
    <row r="7" spans="1:21" x14ac:dyDescent="0.25">
      <c r="A7" s="47" t="s">
        <v>4</v>
      </c>
      <c r="B7" s="48"/>
      <c r="C7" s="13"/>
      <c r="D7" s="63">
        <v>27878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14</v>
      </c>
      <c r="O7" s="35">
        <v>16</v>
      </c>
      <c r="P7" s="35">
        <v>18</v>
      </c>
      <c r="Q7" s="35">
        <v>14</v>
      </c>
    </row>
    <row r="8" spans="1:21" x14ac:dyDescent="0.25">
      <c r="A8" s="41">
        <v>100024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95352143567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23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56</v>
      </c>
      <c r="O10" s="40">
        <v>243</v>
      </c>
      <c r="P10" s="39" t="s">
        <v>37</v>
      </c>
      <c r="Q10" s="33">
        <v>50</v>
      </c>
    </row>
    <row r="11" spans="1:21" x14ac:dyDescent="0.25">
      <c r="A11" s="47" t="s">
        <v>9</v>
      </c>
      <c r="B11" s="48"/>
      <c r="C11" s="13"/>
      <c r="D11" s="49" t="s">
        <v>84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60</v>
      </c>
      <c r="O11" s="40" t="s">
        <v>47</v>
      </c>
      <c r="P11" s="39" t="s">
        <v>38</v>
      </c>
      <c r="Q11" s="33">
        <v>68</v>
      </c>
    </row>
    <row r="12" spans="1:21" x14ac:dyDescent="0.25">
      <c r="A12" s="41" t="s">
        <v>85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67</v>
      </c>
      <c r="O12" s="40">
        <v>12.15</v>
      </c>
      <c r="P12" s="39" t="s">
        <v>39</v>
      </c>
      <c r="Q12" s="33">
        <v>63</v>
      </c>
    </row>
    <row r="13" spans="1:21" x14ac:dyDescent="0.25">
      <c r="A13" s="47" t="s">
        <v>11</v>
      </c>
      <c r="B13" s="48"/>
      <c r="C13" s="13"/>
      <c r="D13" s="65" t="s">
        <v>86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60</v>
      </c>
      <c r="O13" s="40" t="s">
        <v>48</v>
      </c>
      <c r="P13" s="39" t="s">
        <v>40</v>
      </c>
      <c r="Q13" s="33">
        <v>62</v>
      </c>
    </row>
    <row r="14" spans="1:21" x14ac:dyDescent="0.25">
      <c r="A14" s="54">
        <v>35821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59.800000000000004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87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2.9899999999999998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iJ9yntpWAaj3wUM1G2XuFMc/vduyj2TQxS0ximBhyA/kh9StF+jx0VtSlcGBLVdxrYopO4Bwm+e4EA2/hQdVXQ==" saltValue="aoPNw4cGomH+YK49+Cb6mg==" spinCount="100000" sheet="1" objects="1" scenarios="1"/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allowBlank="1" showInputMessage="1" showErrorMessage="1" errorTitle="Invalid date" error="You should be between 18 and 60 years old." prompt="Between 18 and 60 years old." sqref="D7:F7" xr:uid="{9EACB2CA-D856-4151-826F-C78D5B403D6A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06C52DB7-876A-4967-AC5A-437CD30E8052}">
      <formula1>D7+6570</formula1>
    </dataValidation>
    <dataValidation type="custom" allowBlank="1" showInputMessage="1" showErrorMessage="1" errorTitle="Enter a number." error="Numbers only" sqref="D9:F9" xr:uid="{65107CE4-751C-41D7-B0E2-784211176DDA}">
      <formula1>ISNUMBER(D9)</formula1>
    </dataValidation>
    <dataValidation type="list" allowBlank="1" showInputMessage="1" showErrorMessage="1" sqref="H7:I7" xr:uid="{421F1946-4CB4-46C6-A6AE-5F484E1B1EB1}">
      <formula1>"Male, Female"</formula1>
    </dataValidation>
    <dataValidation type="list" allowBlank="1" showInputMessage="1" showErrorMessage="1" sqref="A12:B12" xr:uid="{ED5A3826-E366-43A7-94BB-1586E077BDF9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870FC960-40E0-4F5A-A846-9E2B52F98EB3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3491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3491" r:id="rId4" name="lblEvalu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ECF5-CCCA-4DF3-897E-909A31AD1E36}">
  <sheetPr codeName="Sheet26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100025</v>
      </c>
      <c r="M2" s="21" t="str">
        <f>$D$5</f>
        <v>Rene Descartes</v>
      </c>
      <c r="N2" s="21" t="str">
        <f>$H$7</f>
        <v>Male</v>
      </c>
      <c r="O2" s="22">
        <f>$D$7</f>
        <v>27852</v>
      </c>
      <c r="P2" s="21">
        <f>$D$9</f>
        <v>9481928641</v>
      </c>
      <c r="Q2" s="21" t="str">
        <f>$D$13</f>
        <v>rene@gmail.com</v>
      </c>
      <c r="R2" s="21" t="str">
        <f>$A$12</f>
        <v>Account Manager</v>
      </c>
      <c r="S2" s="21" t="str">
        <f>$A$10</f>
        <v>Sales</v>
      </c>
      <c r="T2" s="21">
        <f>$A$14</f>
        <v>35838</v>
      </c>
      <c r="U2" s="21" t="str">
        <f>$A$16</f>
        <v>Freelance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18</v>
      </c>
      <c r="O4" s="35">
        <v>15</v>
      </c>
      <c r="P4" s="35">
        <v>11</v>
      </c>
      <c r="Q4" s="35">
        <v>17</v>
      </c>
    </row>
    <row r="5" spans="1:21" ht="17.25" customHeight="1" x14ac:dyDescent="0.25">
      <c r="A5" s="6"/>
      <c r="B5" s="7"/>
      <c r="C5" s="13"/>
      <c r="D5" s="49" t="s">
        <v>88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12</v>
      </c>
      <c r="O5" s="35">
        <v>15</v>
      </c>
      <c r="P5" s="35">
        <v>15</v>
      </c>
      <c r="Q5" s="35">
        <v>15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21</v>
      </c>
      <c r="O6" s="35">
        <v>16</v>
      </c>
      <c r="P6" s="35">
        <v>11</v>
      </c>
      <c r="Q6" s="35">
        <v>18</v>
      </c>
    </row>
    <row r="7" spans="1:21" x14ac:dyDescent="0.25">
      <c r="A7" s="47" t="s">
        <v>4</v>
      </c>
      <c r="B7" s="48"/>
      <c r="C7" s="13"/>
      <c r="D7" s="63">
        <v>27852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15</v>
      </c>
      <c r="O7" s="35">
        <v>16</v>
      </c>
      <c r="P7" s="35">
        <v>18</v>
      </c>
      <c r="Q7" s="35">
        <v>12</v>
      </c>
    </row>
    <row r="8" spans="1:21" x14ac:dyDescent="0.25">
      <c r="A8" s="41">
        <v>100025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9481928641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25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66</v>
      </c>
      <c r="O10" s="40">
        <v>245</v>
      </c>
      <c r="P10" s="39" t="s">
        <v>37</v>
      </c>
      <c r="Q10" s="33">
        <v>61</v>
      </c>
    </row>
    <row r="11" spans="1:21" x14ac:dyDescent="0.25">
      <c r="A11" s="47" t="s">
        <v>9</v>
      </c>
      <c r="B11" s="48"/>
      <c r="C11" s="13"/>
      <c r="D11" s="49" t="s">
        <v>89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62</v>
      </c>
      <c r="O11" s="40" t="s">
        <v>47</v>
      </c>
      <c r="P11" s="39" t="s">
        <v>38</v>
      </c>
      <c r="Q11" s="33">
        <v>57</v>
      </c>
    </row>
    <row r="12" spans="1:21" x14ac:dyDescent="0.25">
      <c r="A12" s="41" t="s">
        <v>90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55</v>
      </c>
      <c r="O12" s="40">
        <v>12.25</v>
      </c>
      <c r="P12" s="39" t="s">
        <v>39</v>
      </c>
      <c r="Q12" s="33">
        <v>66</v>
      </c>
    </row>
    <row r="13" spans="1:21" x14ac:dyDescent="0.25">
      <c r="A13" s="47" t="s">
        <v>11</v>
      </c>
      <c r="B13" s="48"/>
      <c r="C13" s="13"/>
      <c r="D13" s="65" t="s">
        <v>91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62</v>
      </c>
      <c r="O13" s="40" t="s">
        <v>48</v>
      </c>
      <c r="P13" s="39" t="s">
        <v>40</v>
      </c>
      <c r="Q13" s="33">
        <v>61</v>
      </c>
    </row>
    <row r="14" spans="1:21" x14ac:dyDescent="0.25">
      <c r="A14" s="54">
        <v>35838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62.2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92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3.11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nbsmi4mjD4vuAodYNVP4ufN/nIXML5v4/b8lDbATSOFGzZ2ftCA6vM1pDOK9OMp87wWB5hjGf2u1oEgYDB4mLQ==" saltValue="BGsWcacqADnmB2DdNvutxg==" spinCount="100000" sheet="1" objects="1" scenarios="1"/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6">
    <dataValidation type="date" allowBlank="1" showInputMessage="1" showErrorMessage="1" errorTitle="Invalid date" error="You should be between 18 and 60 years old." prompt="Between 18 and 60 years old." sqref="D7:F7" xr:uid="{AC34B3A6-77D8-48A0-BF4F-7868126DAEC9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462B13F9-A2DB-4346-A4D1-0F0982EE5645}">
      <formula1>D7+6570</formula1>
    </dataValidation>
    <dataValidation type="custom" allowBlank="1" showInputMessage="1" showErrorMessage="1" errorTitle="Enter a number." error="Numbers only" sqref="D9:F9" xr:uid="{2C4B9FBB-0807-4860-80AC-8871EA5F9004}">
      <formula1>ISNUMBER(D9)</formula1>
    </dataValidation>
    <dataValidation type="list" allowBlank="1" showInputMessage="1" showErrorMessage="1" sqref="H7:I7" xr:uid="{F2D63D1F-1A2F-46E6-931B-3C7C436DF459}">
      <formula1>"Male, Female"</formula1>
    </dataValidation>
    <dataValidation type="list" allowBlank="1" showInputMessage="1" showErrorMessage="1" sqref="A12:B12" xr:uid="{A11192EE-84A3-4729-B6A5-8218A556B03D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019EB1C7-B25E-4FCB-9E5C-5084CCA9EA47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4515" r:id="rId4" name="lblEvalu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AAD2-BC0D-4E0D-8311-3E5C83D6940C}">
  <sheetPr codeName="Sheet27"/>
  <dimension ref="A1:U17"/>
  <sheetViews>
    <sheetView zoomScale="205" zoomScaleNormal="205" workbookViewId="0">
      <selection activeCell="O9" sqref="O9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100026</v>
      </c>
      <c r="M2" s="21" t="str">
        <f>$D$5</f>
        <v>Ted Bundy</v>
      </c>
      <c r="N2" s="21" t="str">
        <f>$H$7</f>
        <v>Male</v>
      </c>
      <c r="O2" s="22">
        <f>$D$7</f>
        <v>27867</v>
      </c>
      <c r="P2" s="21">
        <f>$D$9</f>
        <v>9428934791</v>
      </c>
      <c r="Q2" s="21" t="str">
        <f>$D$13</f>
        <v>ted@gmail.com</v>
      </c>
      <c r="R2" s="21" t="str">
        <f>$A$12</f>
        <v>Account Manager</v>
      </c>
      <c r="S2" s="21" t="str">
        <f>$A$10</f>
        <v>Sales</v>
      </c>
      <c r="T2" s="21">
        <f>$A$14</f>
        <v>35838</v>
      </c>
      <c r="U2" s="21" t="str">
        <f>$A$16</f>
        <v>Freelance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13</v>
      </c>
      <c r="O4" s="35">
        <v>18</v>
      </c>
      <c r="P4" s="35">
        <v>13</v>
      </c>
      <c r="Q4" s="35">
        <v>15</v>
      </c>
    </row>
    <row r="5" spans="1:21" ht="17.25" customHeight="1" x14ac:dyDescent="0.25">
      <c r="A5" s="6"/>
      <c r="B5" s="7"/>
      <c r="C5" s="13"/>
      <c r="D5" s="49" t="s">
        <v>93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16</v>
      </c>
      <c r="O5" s="35">
        <v>20</v>
      </c>
      <c r="P5" s="35">
        <v>16</v>
      </c>
      <c r="Q5" s="35">
        <v>14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20</v>
      </c>
      <c r="O6" s="35">
        <v>17</v>
      </c>
      <c r="P6" s="35">
        <v>17</v>
      </c>
      <c r="Q6" s="35">
        <v>20</v>
      </c>
    </row>
    <row r="7" spans="1:21" x14ac:dyDescent="0.25">
      <c r="A7" s="47" t="s">
        <v>4</v>
      </c>
      <c r="B7" s="48"/>
      <c r="C7" s="13"/>
      <c r="D7" s="63">
        <v>27867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10</v>
      </c>
      <c r="O7" s="35">
        <v>17</v>
      </c>
      <c r="P7" s="35">
        <v>23</v>
      </c>
      <c r="Q7" s="35">
        <v>14</v>
      </c>
    </row>
    <row r="8" spans="1:21" x14ac:dyDescent="0.25">
      <c r="A8" s="41">
        <v>100026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9428934791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25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59</v>
      </c>
      <c r="O10" s="40">
        <v>263</v>
      </c>
      <c r="P10" s="39" t="s">
        <v>37</v>
      </c>
      <c r="Q10" s="33">
        <v>59</v>
      </c>
    </row>
    <row r="11" spans="1:21" x14ac:dyDescent="0.25">
      <c r="A11" s="47" t="s">
        <v>9</v>
      </c>
      <c r="B11" s="48"/>
      <c r="C11" s="13"/>
      <c r="D11" s="49" t="s">
        <v>94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72</v>
      </c>
      <c r="O11" s="40" t="s">
        <v>47</v>
      </c>
      <c r="P11" s="39" t="s">
        <v>38</v>
      </c>
      <c r="Q11" s="33">
        <v>66</v>
      </c>
    </row>
    <row r="12" spans="1:21" x14ac:dyDescent="0.25">
      <c r="A12" s="41" t="s">
        <v>90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69</v>
      </c>
      <c r="O12" s="40">
        <v>13.15</v>
      </c>
      <c r="P12" s="39" t="s">
        <v>39</v>
      </c>
      <c r="Q12" s="33">
        <v>74</v>
      </c>
    </row>
    <row r="13" spans="1:21" x14ac:dyDescent="0.25">
      <c r="A13" s="47" t="s">
        <v>11</v>
      </c>
      <c r="B13" s="48"/>
      <c r="C13" s="13"/>
      <c r="D13" s="65" t="s">
        <v>95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63</v>
      </c>
      <c r="O13" s="40" t="s">
        <v>48</v>
      </c>
      <c r="P13" s="39" t="s">
        <v>40</v>
      </c>
      <c r="Q13" s="33">
        <v>64</v>
      </c>
    </row>
    <row r="14" spans="1:21" x14ac:dyDescent="0.25">
      <c r="A14" s="54">
        <v>35838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65.3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92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3.2649999999999997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YVR0HI/5JTqClZ7g8j2aWVShW1ElqDsoqFEV8Ib2RfNnAVL/2dOQUwxku/fhaQGAQLpYRfgY7T91QC7y3cO+xw==" saltValue="Q49Jla0O9splStUureWZUg==" spinCount="100000" sheet="1" objects="1" scenarios="1"/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allowBlank="1" showInputMessage="1" showErrorMessage="1" errorTitle="Invalid date" error="You should be between 18 and 60 years old." prompt="Between 18 and 60 years old." sqref="D7:F7" xr:uid="{540750E9-E862-4A68-898F-0D278556BD4E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545E60E1-AA7C-459A-869E-35E29164A353}">
      <formula1>D7+6570</formula1>
    </dataValidation>
    <dataValidation type="custom" allowBlank="1" showInputMessage="1" showErrorMessage="1" errorTitle="Enter a number." error="Numbers only" sqref="D9:F9" xr:uid="{4F1239F6-C573-4DF6-8EB4-799B1B881396}">
      <formula1>ISNUMBER(D9)</formula1>
    </dataValidation>
    <dataValidation type="list" allowBlank="1" showInputMessage="1" showErrorMessage="1" sqref="H7:I7" xr:uid="{7457454C-D5F4-495B-BEB7-F6A7ED7F690F}">
      <formula1>"Male, Female"</formula1>
    </dataValidation>
    <dataValidation type="list" allowBlank="1" showInputMessage="1" showErrorMessage="1" sqref="A12:B12" xr:uid="{7A741402-B1DD-473C-9805-7B5F3A41894B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532A4C3C-160D-45AE-9C78-79E9EF6E170A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5539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5539" r:id="rId4" name="lblEvalu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E580-563A-4AB2-B8E5-B207A19A6738}">
  <sheetPr codeName="Sheet28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100027</v>
      </c>
      <c r="M2" s="21" t="str">
        <f>$D$5</f>
        <v>Franz Kafka</v>
      </c>
      <c r="N2" s="21" t="str">
        <f>$H$7</f>
        <v>Male</v>
      </c>
      <c r="O2" s="22">
        <f>$D$7</f>
        <v>28612</v>
      </c>
      <c r="P2" s="21">
        <f>$D$9</f>
        <v>92349871022</v>
      </c>
      <c r="Q2" s="21" t="str">
        <f>$D$13</f>
        <v>kafka@gmail.com</v>
      </c>
      <c r="R2" s="21" t="str">
        <f>$A$12</f>
        <v>Chief Financial Officer</v>
      </c>
      <c r="S2" s="21" t="str">
        <f>$A$10</f>
        <v>Finance</v>
      </c>
      <c r="T2" s="21">
        <f>$A$14</f>
        <v>35872</v>
      </c>
      <c r="U2" s="21" t="str">
        <f>$A$16</f>
        <v>Contract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21</v>
      </c>
      <c r="O4" s="35">
        <v>15</v>
      </c>
      <c r="P4" s="35">
        <v>22</v>
      </c>
      <c r="Q4" s="35">
        <v>13</v>
      </c>
    </row>
    <row r="5" spans="1:21" ht="17.25" customHeight="1" x14ac:dyDescent="0.25">
      <c r="A5" s="6"/>
      <c r="B5" s="7"/>
      <c r="C5" s="13"/>
      <c r="D5" s="49" t="s">
        <v>96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22</v>
      </c>
      <c r="O5" s="35">
        <v>16</v>
      </c>
      <c r="P5" s="35">
        <v>15</v>
      </c>
      <c r="Q5" s="35">
        <v>15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14</v>
      </c>
      <c r="O6" s="35">
        <v>14</v>
      </c>
      <c r="P6" s="35">
        <v>16</v>
      </c>
      <c r="Q6" s="35">
        <v>16</v>
      </c>
    </row>
    <row r="7" spans="1:21" x14ac:dyDescent="0.25">
      <c r="A7" s="47" t="s">
        <v>4</v>
      </c>
      <c r="B7" s="48"/>
      <c r="C7" s="13"/>
      <c r="D7" s="63">
        <v>28612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17</v>
      </c>
      <c r="O7" s="35">
        <v>15</v>
      </c>
      <c r="P7" s="35">
        <v>17</v>
      </c>
      <c r="Q7" s="35">
        <v>17</v>
      </c>
    </row>
    <row r="8" spans="1:21" x14ac:dyDescent="0.25">
      <c r="A8" s="41">
        <v>100027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92349871022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17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74</v>
      </c>
      <c r="O10" s="40">
        <v>265</v>
      </c>
      <c r="P10" s="39" t="s">
        <v>37</v>
      </c>
      <c r="Q10" s="33">
        <v>71</v>
      </c>
    </row>
    <row r="11" spans="1:21" x14ac:dyDescent="0.25">
      <c r="A11" s="47" t="s">
        <v>9</v>
      </c>
      <c r="B11" s="48"/>
      <c r="C11" s="13"/>
      <c r="D11" s="49" t="s">
        <v>97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60</v>
      </c>
      <c r="O11" s="40" t="s">
        <v>47</v>
      </c>
      <c r="P11" s="39" t="s">
        <v>38</v>
      </c>
      <c r="Q11" s="33">
        <v>68</v>
      </c>
    </row>
    <row r="12" spans="1:21" x14ac:dyDescent="0.25">
      <c r="A12" s="41" t="s">
        <v>30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70</v>
      </c>
      <c r="O12" s="40">
        <v>13.25</v>
      </c>
      <c r="P12" s="39" t="s">
        <v>39</v>
      </c>
      <c r="Q12" s="33">
        <v>60</v>
      </c>
    </row>
    <row r="13" spans="1:21" x14ac:dyDescent="0.25">
      <c r="A13" s="47" t="s">
        <v>11</v>
      </c>
      <c r="B13" s="48"/>
      <c r="C13" s="13"/>
      <c r="D13" s="65" t="s">
        <v>98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61</v>
      </c>
      <c r="O13" s="40" t="s">
        <v>48</v>
      </c>
      <c r="P13" s="39" t="s">
        <v>40</v>
      </c>
      <c r="Q13" s="33">
        <v>66</v>
      </c>
    </row>
    <row r="14" spans="1:21" x14ac:dyDescent="0.25">
      <c r="A14" s="54">
        <v>35872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67.7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87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3.3850000000000002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allowBlank="1" showInputMessage="1" showErrorMessage="1" errorTitle="Invalid date" error="You should be between 18 and 60 years old." prompt="Between 18 and 60 years old." sqref="D7:F7" xr:uid="{EB343A24-F70B-4DD8-B9DE-0D4912DCBD4A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8D595AC5-983D-4FC1-BCCC-0E4ECF867A0B}">
      <formula1>D7+6570</formula1>
    </dataValidation>
    <dataValidation type="custom" allowBlank="1" showInputMessage="1" showErrorMessage="1" errorTitle="Enter a number." error="Numbers only" sqref="D9:F9" xr:uid="{14E5675F-EC61-41A5-8093-779D6AF037A0}">
      <formula1>ISNUMBER(D9)</formula1>
    </dataValidation>
    <dataValidation type="list" allowBlank="1" showInputMessage="1" showErrorMessage="1" sqref="H7:I7" xr:uid="{9CDD77C6-6B55-4A48-AF01-52A987926CA8}">
      <formula1>"Male, Female"</formula1>
    </dataValidation>
    <dataValidation type="list" allowBlank="1" showInputMessage="1" showErrorMessage="1" sqref="A12:B12" xr:uid="{FAFFD560-D8D5-480A-B8CF-DE5A6392A5AB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46596CCA-3780-4008-B3FA-6E8E4AD5B454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6563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6563" r:id="rId4" name="lblEvaluat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AE29D-F5CD-43E1-BC88-265FB6794C6D}">
  <sheetPr codeName="Sheet29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100028</v>
      </c>
      <c r="M2" s="21" t="str">
        <f>$D$5</f>
        <v>Andy Weir</v>
      </c>
      <c r="N2" s="21" t="str">
        <f>$H$7</f>
        <v>Male</v>
      </c>
      <c r="O2" s="22">
        <f>$D$7</f>
        <v>29352</v>
      </c>
      <c r="P2" s="21">
        <f>$D$9</f>
        <v>9394837212</v>
      </c>
      <c r="Q2" s="21" t="str">
        <f>$D$13</f>
        <v>jojo@gmail.com</v>
      </c>
      <c r="R2" s="21" t="str">
        <f>$A$12</f>
        <v>Tech Support Specialist</v>
      </c>
      <c r="S2" s="21" t="str">
        <f>$A$10</f>
        <v>Customer_Service</v>
      </c>
      <c r="T2" s="21">
        <f>$A$14</f>
        <v>36249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16</v>
      </c>
      <c r="O4" s="35">
        <v>15</v>
      </c>
      <c r="P4" s="35">
        <v>23</v>
      </c>
      <c r="Q4" s="35">
        <v>19</v>
      </c>
    </row>
    <row r="5" spans="1:21" ht="17.25" customHeight="1" x14ac:dyDescent="0.25">
      <c r="A5" s="6"/>
      <c r="B5" s="7"/>
      <c r="C5" s="13"/>
      <c r="D5" s="49" t="s">
        <v>99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16</v>
      </c>
      <c r="O5" s="35">
        <v>17</v>
      </c>
      <c r="P5" s="35">
        <v>15</v>
      </c>
      <c r="Q5" s="35">
        <v>18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19</v>
      </c>
      <c r="O6" s="35">
        <v>19</v>
      </c>
      <c r="P6" s="35">
        <v>16</v>
      </c>
      <c r="Q6" s="35">
        <v>13</v>
      </c>
    </row>
    <row r="7" spans="1:21" x14ac:dyDescent="0.25">
      <c r="A7" s="47" t="s">
        <v>4</v>
      </c>
      <c r="B7" s="48"/>
      <c r="C7" s="13"/>
      <c r="D7" s="63">
        <v>29352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21</v>
      </c>
      <c r="O7" s="35">
        <v>13</v>
      </c>
      <c r="P7" s="35">
        <v>15</v>
      </c>
      <c r="Q7" s="35">
        <v>16</v>
      </c>
    </row>
    <row r="8" spans="1:21" x14ac:dyDescent="0.25">
      <c r="A8" s="41">
        <v>100028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9394837212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19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72</v>
      </c>
      <c r="O10" s="40">
        <v>271</v>
      </c>
      <c r="P10" s="39" t="s">
        <v>37</v>
      </c>
      <c r="Q10" s="33">
        <v>73</v>
      </c>
    </row>
    <row r="11" spans="1:21" x14ac:dyDescent="0.25">
      <c r="A11" s="47" t="s">
        <v>9</v>
      </c>
      <c r="B11" s="48"/>
      <c r="C11" s="13"/>
      <c r="D11" s="49" t="s">
        <v>100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64</v>
      </c>
      <c r="O11" s="40" t="s">
        <v>47</v>
      </c>
      <c r="P11" s="39" t="s">
        <v>38</v>
      </c>
      <c r="Q11" s="33">
        <v>66</v>
      </c>
    </row>
    <row r="12" spans="1:21" x14ac:dyDescent="0.25">
      <c r="A12" s="41" t="s">
        <v>20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69</v>
      </c>
      <c r="O12" s="40">
        <v>13.55</v>
      </c>
      <c r="P12" s="39" t="s">
        <v>39</v>
      </c>
      <c r="Q12" s="33">
        <v>67</v>
      </c>
    </row>
    <row r="13" spans="1:21" x14ac:dyDescent="0.25">
      <c r="A13" s="47" t="s">
        <v>11</v>
      </c>
      <c r="B13" s="48"/>
      <c r="C13" s="13"/>
      <c r="D13" s="65" t="s">
        <v>101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66</v>
      </c>
      <c r="O13" s="40" t="s">
        <v>48</v>
      </c>
      <c r="P13" s="39" t="s">
        <v>40</v>
      </c>
      <c r="Q13" s="33">
        <v>65</v>
      </c>
    </row>
    <row r="14" spans="1:21" x14ac:dyDescent="0.25">
      <c r="A14" s="54">
        <v>36249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68.399999999999991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3.42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6">
    <dataValidation type="date" allowBlank="1" showInputMessage="1" showErrorMessage="1" errorTitle="Invalid date" error="You should be between 18 and 60 years old." prompt="Between 18 and 60 years old." sqref="D7:F7" xr:uid="{5F5D4338-B547-4D58-A5FD-ACB78FCE0796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310349C2-137E-4193-9E19-88730D5F3281}">
      <formula1>D7+6570</formula1>
    </dataValidation>
    <dataValidation type="custom" allowBlank="1" showInputMessage="1" showErrorMessage="1" errorTitle="Invalid Number" error="Should be greater than 6 and less than 13 in length." sqref="D9:F9" xr:uid="{FAFE30E4-65A7-450E-8F3A-F2CB74F7C745}">
      <formula1>AND(ISNUMBER(D9), LEN(TEXT(D9, "0")) &gt; 6, LEN(TEXT(D9, "0")) &lt; 13)</formula1>
    </dataValidation>
    <dataValidation type="list" allowBlank="1" showInputMessage="1" showErrorMessage="1" sqref="H7:I7" xr:uid="{1C79960C-7410-4C2A-B39C-E6C3F8D315C3}">
      <formula1>"Male, Female"</formula1>
    </dataValidation>
    <dataValidation type="list" allowBlank="1" showInputMessage="1" showErrorMessage="1" sqref="A12:B12" xr:uid="{BF136C73-3F43-4BEF-AAC1-66ED9212C04F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6E27245C-B52B-4C2B-AABD-136085C55316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7587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7587" r:id="rId4" name="lblEvaluat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1D51-3259-46F1-9430-08ED32FE2828}">
  <sheetPr codeName="Sheet30"/>
  <dimension ref="A1:U17"/>
  <sheetViews>
    <sheetView tabSelected="1" zoomScale="205" zoomScaleNormal="205" workbookViewId="0">
      <selection activeCell="H12" sqref="H12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100029</v>
      </c>
      <c r="M2" s="21" t="str">
        <f>$D$5</f>
        <v>Haruki Murakami</v>
      </c>
      <c r="N2" s="21" t="str">
        <f>$H$7</f>
        <v>Male</v>
      </c>
      <c r="O2" s="22">
        <f>$D$7</f>
        <v>29727</v>
      </c>
      <c r="P2" s="21">
        <f>$D$9</f>
        <v>9492387812</v>
      </c>
      <c r="Q2" s="21" t="str">
        <f>$D$13</f>
        <v>haru@gmail.com</v>
      </c>
      <c r="R2" s="21" t="str">
        <f>$A$12</f>
        <v>Logistics Coordinator</v>
      </c>
      <c r="S2" s="21" t="str">
        <f>$A$10</f>
        <v>Operations</v>
      </c>
      <c r="T2" s="21">
        <f>$A$14</f>
        <v>36262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23</v>
      </c>
      <c r="O4" s="35">
        <v>17</v>
      </c>
      <c r="P4" s="35">
        <v>17</v>
      </c>
      <c r="Q4" s="35">
        <v>19</v>
      </c>
    </row>
    <row r="5" spans="1:21" ht="17.25" customHeight="1" x14ac:dyDescent="0.25">
      <c r="A5" s="6"/>
      <c r="B5" s="7"/>
      <c r="C5" s="13"/>
      <c r="D5" s="49" t="s">
        <v>102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16</v>
      </c>
      <c r="O5" s="35">
        <v>18</v>
      </c>
      <c r="P5" s="35">
        <v>20</v>
      </c>
      <c r="Q5" s="35">
        <v>9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18</v>
      </c>
      <c r="O6" s="35">
        <v>19</v>
      </c>
      <c r="P6" s="35">
        <v>19</v>
      </c>
      <c r="Q6" s="35">
        <v>14</v>
      </c>
    </row>
    <row r="7" spans="1:21" x14ac:dyDescent="0.25">
      <c r="A7" s="47" t="s">
        <v>4</v>
      </c>
      <c r="B7" s="48"/>
      <c r="C7" s="13"/>
      <c r="D7" s="63">
        <v>29727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16</v>
      </c>
      <c r="O7" s="35">
        <v>22</v>
      </c>
      <c r="P7" s="35">
        <v>18</v>
      </c>
      <c r="Q7" s="35">
        <v>11</v>
      </c>
    </row>
    <row r="8" spans="1:21" x14ac:dyDescent="0.25">
      <c r="A8" s="41">
        <v>100029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9492387812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15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73</v>
      </c>
      <c r="O10" s="40">
        <v>276</v>
      </c>
      <c r="P10" s="39" t="s">
        <v>37</v>
      </c>
      <c r="Q10" s="33">
        <v>76</v>
      </c>
    </row>
    <row r="11" spans="1:21" x14ac:dyDescent="0.25">
      <c r="A11" s="47" t="s">
        <v>9</v>
      </c>
      <c r="B11" s="48"/>
      <c r="C11" s="13"/>
      <c r="D11" s="49" t="s">
        <v>103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76</v>
      </c>
      <c r="O11" s="40" t="s">
        <v>47</v>
      </c>
      <c r="P11" s="39" t="s">
        <v>38</v>
      </c>
      <c r="Q11" s="33">
        <v>63</v>
      </c>
    </row>
    <row r="12" spans="1:21" x14ac:dyDescent="0.25">
      <c r="A12" s="41" t="s">
        <v>16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74</v>
      </c>
      <c r="O12" s="40">
        <v>13.799999999999999</v>
      </c>
      <c r="P12" s="39" t="s">
        <v>39</v>
      </c>
      <c r="Q12" s="33">
        <v>70</v>
      </c>
    </row>
    <row r="13" spans="1:21" x14ac:dyDescent="0.25">
      <c r="A13" s="47" t="s">
        <v>11</v>
      </c>
      <c r="B13" s="48"/>
      <c r="C13" s="13"/>
      <c r="D13" s="65" t="s">
        <v>104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53</v>
      </c>
      <c r="O13" s="40" t="s">
        <v>48</v>
      </c>
      <c r="P13" s="39" t="s">
        <v>40</v>
      </c>
      <c r="Q13" s="33">
        <v>67</v>
      </c>
    </row>
    <row r="14" spans="1:21" x14ac:dyDescent="0.25">
      <c r="A14" s="54">
        <v>36262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72.099999999999994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3.6050000000000009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kaCzYkDBHRvAdrNVO0odJhHStw5eQ4EtrUhVOKf7xRQGPru3oWjRefSl3HV1wSZ+i6z9ei9l06gGhgMsTY+JHg==" saltValue="UuDGlbhntJvXl231m2Ts+A==" spinCount="100000" sheet="1" objects="1" scenarios="1"/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allowBlank="1" showInputMessage="1" showErrorMessage="1" errorTitle="Invalid date" error="You should be between 18 and 60 years old." prompt="Between 18 and 60 years old." sqref="D7:F7" xr:uid="{D7CFA236-5EB6-41DE-A53C-B54DF3B3A78B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C678A357-9067-4E0F-86B3-49A0A765BC8D}">
      <formula1>D7+6570</formula1>
    </dataValidation>
    <dataValidation type="custom" allowBlank="1" showInputMessage="1" showErrorMessage="1" errorTitle="Invalid Number" error="Should be greater than 6 and less than 13 in length." sqref="D9:F9" xr:uid="{9D5E1D0A-28FF-492C-8FE4-3D272908548D}">
      <formula1>AND(ISNUMBER(D9), LEN(TEXT(D9, "0")) &gt; 6, LEN(TEXT(D9, "0")) &lt; 13)</formula1>
    </dataValidation>
    <dataValidation type="list" allowBlank="1" showInputMessage="1" showErrorMessage="1" sqref="H7:I7" xr:uid="{CF71BD93-4B64-439A-B1DD-A472821D1EBC}">
      <formula1>"Male, Female"</formula1>
    </dataValidation>
    <dataValidation type="list" allowBlank="1" showInputMessage="1" showErrorMessage="1" sqref="A12:B12" xr:uid="{A06ADD54-8ADE-47F7-9053-805595FF95EC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7F982445-2E59-46A1-9489-F2CF988CCF83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8611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8611" r:id="rId4" name="lblEvaluat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71E3F-BC85-4EAB-92C7-FC5CB10EA19D}">
  <sheetPr codeName="Sheet31"/>
  <dimension ref="A1:U17"/>
  <sheetViews>
    <sheetView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100030</v>
      </c>
      <c r="M2" s="21" t="str">
        <f>$D$5</f>
        <v>Brandon Sanderson</v>
      </c>
      <c r="N2" s="21" t="str">
        <f>$H$7</f>
        <v>Male</v>
      </c>
      <c r="O2" s="22">
        <f>$D$7</f>
        <v>29748</v>
      </c>
      <c r="P2" s="21">
        <f>$D$9</f>
        <v>9987261293</v>
      </c>
      <c r="Q2" s="21" t="str">
        <f>$D$13</f>
        <v>Sander@gmail.com</v>
      </c>
      <c r="R2" s="21" t="str">
        <f>$A$12</f>
        <v>Network Admin</v>
      </c>
      <c r="S2" s="21" t="str">
        <f>$A$10</f>
        <v>IT</v>
      </c>
      <c r="T2" s="21">
        <f>$A$14</f>
        <v>36325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20</v>
      </c>
      <c r="O4" s="35">
        <v>16</v>
      </c>
      <c r="P4" s="35">
        <v>12</v>
      </c>
      <c r="Q4" s="35">
        <v>16</v>
      </c>
    </row>
    <row r="5" spans="1:21" ht="17.25" customHeight="1" x14ac:dyDescent="0.25">
      <c r="A5" s="6"/>
      <c r="B5" s="7"/>
      <c r="C5" s="13"/>
      <c r="D5" s="49" t="s">
        <v>105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15</v>
      </c>
      <c r="O5" s="35">
        <v>14</v>
      </c>
      <c r="P5" s="35">
        <v>15</v>
      </c>
      <c r="Q5" s="35">
        <v>17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13</v>
      </c>
      <c r="O6" s="35">
        <v>16</v>
      </c>
      <c r="P6" s="35">
        <v>17</v>
      </c>
      <c r="Q6" s="35">
        <v>11</v>
      </c>
    </row>
    <row r="7" spans="1:21" x14ac:dyDescent="0.25">
      <c r="A7" s="47" t="s">
        <v>4</v>
      </c>
      <c r="B7" s="48"/>
      <c r="C7" s="13"/>
      <c r="D7" s="63">
        <v>29748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16</v>
      </c>
      <c r="O7" s="35">
        <v>13</v>
      </c>
      <c r="P7" s="35">
        <v>20</v>
      </c>
      <c r="Q7" s="35">
        <v>13</v>
      </c>
    </row>
    <row r="8" spans="1:21" x14ac:dyDescent="0.25">
      <c r="A8" s="41">
        <v>100030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9987261293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23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64</v>
      </c>
      <c r="O10" s="40">
        <v>244</v>
      </c>
      <c r="P10" s="39" t="s">
        <v>37</v>
      </c>
      <c r="Q10" s="33">
        <v>64</v>
      </c>
    </row>
    <row r="11" spans="1:21" x14ac:dyDescent="0.25">
      <c r="A11" s="47" t="s">
        <v>9</v>
      </c>
      <c r="B11" s="48"/>
      <c r="C11" s="13"/>
      <c r="D11" s="49" t="s">
        <v>106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59</v>
      </c>
      <c r="O11" s="40" t="s">
        <v>47</v>
      </c>
      <c r="P11" s="39" t="s">
        <v>38</v>
      </c>
      <c r="Q11" s="33">
        <v>61</v>
      </c>
    </row>
    <row r="12" spans="1:21" x14ac:dyDescent="0.25">
      <c r="A12" s="41" t="s">
        <v>107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64</v>
      </c>
      <c r="O12" s="40">
        <v>12.200000000000001</v>
      </c>
      <c r="P12" s="39" t="s">
        <v>39</v>
      </c>
      <c r="Q12" s="33">
        <v>57</v>
      </c>
    </row>
    <row r="13" spans="1:21" x14ac:dyDescent="0.25">
      <c r="A13" s="47" t="s">
        <v>11</v>
      </c>
      <c r="B13" s="48"/>
      <c r="C13" s="13"/>
      <c r="D13" s="65" t="s">
        <v>108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57</v>
      </c>
      <c r="O13" s="40" t="s">
        <v>48</v>
      </c>
      <c r="P13" s="39" t="s">
        <v>40</v>
      </c>
      <c r="Q13" s="33">
        <v>62</v>
      </c>
    </row>
    <row r="14" spans="1:21" x14ac:dyDescent="0.25">
      <c r="A14" s="54">
        <v>36325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61.8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3.0900000000000003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1B/l6QUqb6ID0Q18aSeRYs1j4iB4qF6A192GRpZKnd7Q2sBzlvTmR+fBO4JaL92Lr4Wj8W5eQKhSPjsNdWhHJg==" saltValue="tXqott9ypED+Y2Tb+q737A==" spinCount="100000" sheet="1" objects="1" scenarios="1"/>
  <mergeCells count="22"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  <mergeCell ref="A16:B16"/>
    <mergeCell ref="A12:B12"/>
    <mergeCell ref="D12:E12"/>
    <mergeCell ref="A13:B13"/>
    <mergeCell ref="D13:G13"/>
    <mergeCell ref="A14:B14"/>
    <mergeCell ref="A15:B15"/>
  </mergeCells>
  <dataValidations count="6">
    <dataValidation type="date" allowBlank="1" showInputMessage="1" showErrorMessage="1" errorTitle="Invalid date" error="You should be between 18 and 60 years old." prompt="Between 18 and 60 years old." sqref="D7:F7" xr:uid="{F6AD2557-2856-47E4-95DA-34CA61B62CC9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2CB4F08C-FECB-436D-A7A7-999028FAC75F}">
      <formula1>D7+6570</formula1>
    </dataValidation>
    <dataValidation type="custom" allowBlank="1" showInputMessage="1" showErrorMessage="1" errorTitle="Invalid Number" error="Should be greater than 6 and less than 13 in length." sqref="D9:F9" xr:uid="{53228ECE-56B1-4BA5-8A38-12C11D834B9B}">
      <formula1>AND(ISNUMBER(D9), LEN(TEXT(D9, "0")) &gt; 6, LEN(TEXT(D9, "0")) &lt; 13)</formula1>
    </dataValidation>
    <dataValidation type="list" allowBlank="1" showInputMessage="1" showErrorMessage="1" sqref="H7:I7" xr:uid="{6E375274-06D6-475C-A07D-17FEBCB8C3A3}">
      <formula1>"Male, Female"</formula1>
    </dataValidation>
    <dataValidation type="list" allowBlank="1" showInputMessage="1" showErrorMessage="1" sqref="A12:B12" xr:uid="{05CBEE06-A71E-480D-BA34-B6762912A3B9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808568DE-CB10-40E8-BBF7-3B4E63F2546B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9635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69635" r:id="rId4" name="lblEvaluat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06089-B315-456D-8743-8EFB5B73EE7D}">
  <sheetPr codeName="Sheet32"/>
  <dimension ref="A1:U17"/>
  <sheetViews>
    <sheetView topLeftCell="I10" zoomScale="205" zoomScaleNormal="205" workbookViewId="0">
      <selection activeCell="M1" sqref="M1:Q1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22.85546875" bestFit="1" customWidth="1"/>
    <col min="14" max="14" width="8.5703125" bestFit="1" customWidth="1"/>
    <col min="15" max="15" width="23.140625" bestFit="1" customWidth="1"/>
    <col min="16" max="16" width="22.85546875" bestFit="1" customWidth="1"/>
    <col min="17" max="17" width="10.7109375" bestFit="1" customWidth="1"/>
    <col min="20" max="20" width="12" customWidth="1"/>
  </cols>
  <sheetData>
    <row r="1" spans="1:21" ht="21" customHeight="1" thickBot="1" x14ac:dyDescent="0.3">
      <c r="A1" s="1"/>
      <c r="B1" s="2"/>
      <c r="C1" s="3"/>
      <c r="D1" s="56" t="s">
        <v>0</v>
      </c>
      <c r="E1" s="57"/>
      <c r="F1" s="57"/>
      <c r="G1" s="57"/>
      <c r="H1" s="57"/>
      <c r="I1" s="57"/>
      <c r="J1" s="58"/>
      <c r="K1" s="4"/>
      <c r="L1" s="5"/>
      <c r="M1" s="51" t="s">
        <v>49</v>
      </c>
      <c r="N1" s="51"/>
      <c r="O1" s="51"/>
      <c r="P1" s="51"/>
      <c r="Q1" s="51"/>
    </row>
    <row r="2" spans="1:21" x14ac:dyDescent="0.25">
      <c r="A2" s="6"/>
      <c r="B2" s="7"/>
      <c r="C2" s="8"/>
      <c r="D2" s="9"/>
      <c r="E2" s="9"/>
      <c r="F2" s="9"/>
      <c r="G2" s="9"/>
      <c r="H2" s="9"/>
      <c r="I2" s="9"/>
      <c r="J2" s="10"/>
      <c r="K2" s="11"/>
      <c r="L2" s="21">
        <f>$A$8</f>
        <v>100031</v>
      </c>
      <c r="M2" s="21" t="str">
        <f>$D$5</f>
        <v>Frank Herbert</v>
      </c>
      <c r="N2" s="21" t="str">
        <f>$H$7</f>
        <v>Male</v>
      </c>
      <c r="O2" s="22">
        <f>$D$7</f>
        <v>32719</v>
      </c>
      <c r="P2" s="21">
        <f>$D$9</f>
        <v>94923783182</v>
      </c>
      <c r="Q2" s="21" t="str">
        <f>$D$13</f>
        <v>frank@gmail.com</v>
      </c>
      <c r="R2" s="21" t="str">
        <f>$A$12</f>
        <v>HR Coordinator</v>
      </c>
      <c r="S2" s="21" t="str">
        <f>$A$10</f>
        <v>Human_Resource</v>
      </c>
      <c r="T2" s="21">
        <f>$A$14</f>
        <v>44805</v>
      </c>
      <c r="U2" s="21" t="str">
        <f>$A$16</f>
        <v>Full-Time</v>
      </c>
    </row>
    <row r="3" spans="1:21" x14ac:dyDescent="0.25">
      <c r="A3" s="23"/>
      <c r="B3" s="7"/>
      <c r="C3" s="13"/>
      <c r="D3" s="13"/>
      <c r="E3" s="13"/>
      <c r="F3" s="13"/>
      <c r="G3" s="13"/>
      <c r="H3" s="13"/>
      <c r="I3" s="13"/>
      <c r="J3" s="14"/>
      <c r="K3" s="11"/>
      <c r="L3" s="5"/>
      <c r="M3" s="31" t="s">
        <v>32</v>
      </c>
      <c r="N3" s="32" t="s">
        <v>33</v>
      </c>
      <c r="O3" s="32" t="s">
        <v>34</v>
      </c>
      <c r="P3" s="32" t="s">
        <v>35</v>
      </c>
      <c r="Q3" s="32" t="s">
        <v>36</v>
      </c>
    </row>
    <row r="4" spans="1:21" x14ac:dyDescent="0.25">
      <c r="A4" s="6"/>
      <c r="B4" s="7"/>
      <c r="C4" s="13"/>
      <c r="D4" s="15" t="s">
        <v>1</v>
      </c>
      <c r="E4" s="59"/>
      <c r="F4" s="59"/>
      <c r="G4" s="59"/>
      <c r="H4" s="59"/>
      <c r="I4" s="59"/>
      <c r="J4" s="60"/>
      <c r="K4" s="11"/>
      <c r="L4" s="5"/>
      <c r="M4" s="33" t="s">
        <v>37</v>
      </c>
      <c r="N4" s="34">
        <v>13</v>
      </c>
      <c r="O4" s="35">
        <v>19</v>
      </c>
      <c r="P4" s="35">
        <v>10</v>
      </c>
      <c r="Q4" s="35">
        <v>12</v>
      </c>
    </row>
    <row r="5" spans="1:21" ht="17.25" customHeight="1" x14ac:dyDescent="0.25">
      <c r="A5" s="6"/>
      <c r="B5" s="7"/>
      <c r="C5" s="13"/>
      <c r="D5" s="49" t="s">
        <v>109</v>
      </c>
      <c r="E5" s="50"/>
      <c r="F5" s="50"/>
      <c r="G5" s="50"/>
      <c r="H5" s="50"/>
      <c r="I5" s="50"/>
      <c r="J5" s="50"/>
      <c r="K5" s="11"/>
      <c r="L5" s="5"/>
      <c r="M5" s="33" t="s">
        <v>38</v>
      </c>
      <c r="N5" s="34">
        <v>14</v>
      </c>
      <c r="O5" s="35">
        <v>19</v>
      </c>
      <c r="P5" s="35">
        <v>15</v>
      </c>
      <c r="Q5" s="35">
        <v>16</v>
      </c>
    </row>
    <row r="6" spans="1:21" x14ac:dyDescent="0.25">
      <c r="A6" s="61"/>
      <c r="B6" s="62"/>
      <c r="C6" s="13"/>
      <c r="D6" s="15" t="s">
        <v>2</v>
      </c>
      <c r="E6" s="13"/>
      <c r="F6" s="13"/>
      <c r="G6" s="13"/>
      <c r="H6" s="15" t="s">
        <v>3</v>
      </c>
      <c r="I6" s="13"/>
      <c r="J6" s="14"/>
      <c r="K6" s="11"/>
      <c r="L6" s="5"/>
      <c r="M6" s="33" t="s">
        <v>39</v>
      </c>
      <c r="N6" s="34">
        <v>14</v>
      </c>
      <c r="O6" s="35">
        <v>21</v>
      </c>
      <c r="P6" s="35">
        <v>6</v>
      </c>
      <c r="Q6" s="35">
        <v>17</v>
      </c>
    </row>
    <row r="7" spans="1:21" x14ac:dyDescent="0.25">
      <c r="A7" s="47" t="s">
        <v>4</v>
      </c>
      <c r="B7" s="48"/>
      <c r="C7" s="13"/>
      <c r="D7" s="63">
        <v>32719</v>
      </c>
      <c r="E7" s="50"/>
      <c r="F7" s="44"/>
      <c r="G7" s="13"/>
      <c r="H7" s="43" t="s">
        <v>5</v>
      </c>
      <c r="I7" s="44"/>
      <c r="J7" s="14"/>
      <c r="K7" s="11"/>
      <c r="L7" s="5"/>
      <c r="M7" s="33" t="s">
        <v>40</v>
      </c>
      <c r="N7" s="34">
        <v>12</v>
      </c>
      <c r="O7" s="35">
        <v>11</v>
      </c>
      <c r="P7" s="35">
        <v>17</v>
      </c>
      <c r="Q7" s="35">
        <v>20</v>
      </c>
    </row>
    <row r="8" spans="1:21" x14ac:dyDescent="0.25">
      <c r="A8" s="41">
        <v>100031</v>
      </c>
      <c r="B8" s="42"/>
      <c r="C8" s="13"/>
      <c r="D8" s="45" t="s">
        <v>55</v>
      </c>
      <c r="E8" s="46"/>
      <c r="F8" s="13"/>
      <c r="G8" s="13"/>
      <c r="H8" s="13"/>
      <c r="I8" s="13"/>
      <c r="J8" s="14"/>
      <c r="K8" s="11"/>
      <c r="L8" s="5"/>
      <c r="N8" s="12"/>
      <c r="O8" s="30"/>
    </row>
    <row r="9" spans="1:21" x14ac:dyDescent="0.25">
      <c r="A9" s="47" t="s">
        <v>7</v>
      </c>
      <c r="B9" s="48"/>
      <c r="C9" s="13"/>
      <c r="D9" s="49">
        <v>94923783182</v>
      </c>
      <c r="E9" s="50"/>
      <c r="F9" s="44"/>
      <c r="G9" s="13"/>
      <c r="H9" s="13"/>
      <c r="I9" s="13"/>
      <c r="J9" s="14"/>
      <c r="K9" s="11"/>
      <c r="L9" s="5"/>
      <c r="M9" s="31" t="s">
        <v>41</v>
      </c>
      <c r="N9" s="36" t="s">
        <v>42</v>
      </c>
      <c r="O9" s="40" t="s">
        <v>46</v>
      </c>
      <c r="P9" s="38" t="s">
        <v>44</v>
      </c>
      <c r="Q9" s="32" t="s">
        <v>43</v>
      </c>
    </row>
    <row r="10" spans="1:21" x14ac:dyDescent="0.25">
      <c r="A10" s="41" t="s">
        <v>22</v>
      </c>
      <c r="B10" s="42"/>
      <c r="C10" s="13"/>
      <c r="D10" s="15" t="s">
        <v>8</v>
      </c>
      <c r="E10" s="13"/>
      <c r="F10" s="13"/>
      <c r="G10" s="13"/>
      <c r="H10" s="13"/>
      <c r="I10" s="13"/>
      <c r="J10" s="14"/>
      <c r="K10" s="11"/>
      <c r="L10" s="5"/>
      <c r="M10" s="33" t="s">
        <v>33</v>
      </c>
      <c r="N10" s="37">
        <v>53</v>
      </c>
      <c r="O10" s="40">
        <v>236</v>
      </c>
      <c r="P10" s="39" t="s">
        <v>37</v>
      </c>
      <c r="Q10" s="33">
        <v>54</v>
      </c>
    </row>
    <row r="11" spans="1:21" x14ac:dyDescent="0.25">
      <c r="A11" s="47" t="s">
        <v>9</v>
      </c>
      <c r="B11" s="48"/>
      <c r="C11" s="13"/>
      <c r="D11" s="49" t="s">
        <v>110</v>
      </c>
      <c r="E11" s="50"/>
      <c r="F11" s="50"/>
      <c r="G11" s="50"/>
      <c r="H11" s="50"/>
      <c r="I11" s="50"/>
      <c r="J11" s="50"/>
      <c r="K11" s="11"/>
      <c r="L11" s="5"/>
      <c r="M11" s="33" t="s">
        <v>34</v>
      </c>
      <c r="N11" s="37">
        <v>70</v>
      </c>
      <c r="O11" s="40" t="s">
        <v>47</v>
      </c>
      <c r="P11" s="39" t="s">
        <v>38</v>
      </c>
      <c r="Q11" s="33">
        <v>64</v>
      </c>
    </row>
    <row r="12" spans="1:21" x14ac:dyDescent="0.25">
      <c r="A12" s="41" t="s">
        <v>73</v>
      </c>
      <c r="B12" s="42"/>
      <c r="C12" s="13"/>
      <c r="D12" s="64" t="s">
        <v>10</v>
      </c>
      <c r="E12" s="64"/>
      <c r="F12" s="13"/>
      <c r="G12" s="13"/>
      <c r="H12" s="13"/>
      <c r="I12" s="13"/>
      <c r="J12" s="14"/>
      <c r="K12" s="11"/>
      <c r="L12" s="5"/>
      <c r="M12" s="33" t="s">
        <v>35</v>
      </c>
      <c r="N12" s="37">
        <v>48</v>
      </c>
      <c r="O12" s="40">
        <v>11.8</v>
      </c>
      <c r="P12" s="39" t="s">
        <v>39</v>
      </c>
      <c r="Q12" s="33">
        <v>58</v>
      </c>
    </row>
    <row r="13" spans="1:21" x14ac:dyDescent="0.25">
      <c r="A13" s="47" t="s">
        <v>11</v>
      </c>
      <c r="B13" s="48"/>
      <c r="C13" s="13"/>
      <c r="D13" s="65" t="s">
        <v>111</v>
      </c>
      <c r="E13" s="66"/>
      <c r="F13" s="66"/>
      <c r="G13" s="66"/>
      <c r="H13" s="13"/>
      <c r="I13" s="13"/>
      <c r="J13" s="14"/>
      <c r="K13" s="11"/>
      <c r="L13" s="5"/>
      <c r="M13" s="33" t="s">
        <v>45</v>
      </c>
      <c r="N13" s="37">
        <v>65</v>
      </c>
      <c r="O13" s="40" t="s">
        <v>48</v>
      </c>
      <c r="P13" s="39" t="s">
        <v>40</v>
      </c>
      <c r="Q13" s="33">
        <v>60</v>
      </c>
    </row>
    <row r="14" spans="1:21" x14ac:dyDescent="0.25">
      <c r="A14" s="54">
        <v>44805</v>
      </c>
      <c r="B14" s="55"/>
      <c r="C14" s="13"/>
      <c r="D14" s="13"/>
      <c r="E14" s="13"/>
      <c r="F14" s="13"/>
      <c r="G14" s="13"/>
      <c r="H14" s="13"/>
      <c r="I14" s="13"/>
      <c r="J14" s="14"/>
      <c r="K14" s="11"/>
      <c r="L14" s="5"/>
      <c r="O14" s="40">
        <v>58.300000000000004</v>
      </c>
    </row>
    <row r="15" spans="1:21" x14ac:dyDescent="0.25">
      <c r="A15" s="47" t="s">
        <v>12</v>
      </c>
      <c r="B15" s="48"/>
      <c r="C15" s="9"/>
      <c r="D15" s="9"/>
      <c r="E15" s="9"/>
      <c r="F15" s="9"/>
      <c r="G15" s="9"/>
      <c r="H15" s="9"/>
      <c r="I15" s="9"/>
      <c r="J15" s="9" t="s">
        <v>27</v>
      </c>
      <c r="K15" s="11"/>
      <c r="L15" s="5"/>
      <c r="O15" s="40" t="s">
        <v>53</v>
      </c>
    </row>
    <row r="16" spans="1:21" ht="15.75" thickBot="1" x14ac:dyDescent="0.3">
      <c r="A16" s="52" t="s">
        <v>13</v>
      </c>
      <c r="B16" s="53"/>
      <c r="C16" s="16"/>
      <c r="D16" s="17"/>
      <c r="E16" s="18"/>
      <c r="F16" s="18"/>
      <c r="G16" s="18"/>
      <c r="H16" s="18"/>
      <c r="I16" s="18"/>
      <c r="J16" s="19"/>
      <c r="K16" s="11"/>
      <c r="L16" s="5"/>
      <c r="O16" s="40">
        <v>2.9150000000000005</v>
      </c>
    </row>
    <row r="17" spans="1:15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"/>
      <c r="O17" s="30"/>
    </row>
  </sheetData>
  <sheetProtection algorithmName="SHA-512" hashValue="rsn0zL44DKHWD3mieo4ZUerNEMp26HpkRFcVK5c/yJwERVEd76BIfXLn2KLkRMzjfYh3+yV13x0ruNu3GjSVNw==" saltValue="V0XMJqIm2xBhLh0/Z9uesg==" spinCount="100000" sheet="1" objects="1" scenarios="1"/>
  <mergeCells count="22">
    <mergeCell ref="A16:B16"/>
    <mergeCell ref="A12:B12"/>
    <mergeCell ref="D12:E12"/>
    <mergeCell ref="A13:B13"/>
    <mergeCell ref="D13:G13"/>
    <mergeCell ref="A14:B14"/>
    <mergeCell ref="A15:B15"/>
    <mergeCell ref="M1:Q1"/>
    <mergeCell ref="A11:B11"/>
    <mergeCell ref="D11:J11"/>
    <mergeCell ref="D1:J1"/>
    <mergeCell ref="E4:J4"/>
    <mergeCell ref="D5:J5"/>
    <mergeCell ref="A6:B6"/>
    <mergeCell ref="A7:B7"/>
    <mergeCell ref="D7:F7"/>
    <mergeCell ref="H7:I7"/>
    <mergeCell ref="A8:B8"/>
    <mergeCell ref="D8:E8"/>
    <mergeCell ref="A9:B9"/>
    <mergeCell ref="D9:F9"/>
    <mergeCell ref="A10:B10"/>
  </mergeCells>
  <dataValidations count="6">
    <dataValidation type="date" allowBlank="1" showInputMessage="1" showErrorMessage="1" errorTitle="Invalid date" error="You should be between 18 and 60 years old." prompt="Between 18 and 60 years old." sqref="D7:F7" xr:uid="{E96F81F5-C6AE-4307-A350-CBF8F296C5D4}">
      <formula1>24088</formula1>
      <formula2>38898</formula2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C4FB153F-5DA6-447B-81EF-A8EE431C686F}">
      <formula1>D7+6570</formula1>
    </dataValidation>
    <dataValidation type="custom" allowBlank="1" showInputMessage="1" showErrorMessage="1" errorTitle="Invalid Number" error="Should be greater than 6 and less than 13 in length." sqref="D9:F9" xr:uid="{E20AF7B0-69FC-49BC-A78C-1E1637AF2B7D}">
      <formula1>AND(ISNUMBER(D9), LEN(TEXT(D9, "0")) &gt; 6, LEN(TEXT(D9, "0")) &lt; 13)</formula1>
    </dataValidation>
    <dataValidation type="list" allowBlank="1" showInputMessage="1" showErrorMessage="1" sqref="H7:I7" xr:uid="{5B89BED2-8580-414D-B663-2C6A58991F30}">
      <formula1>"Male, Female"</formula1>
    </dataValidation>
    <dataValidation type="list" allowBlank="1" showInputMessage="1" showErrorMessage="1" sqref="A12:B12" xr:uid="{36D530E5-CD9C-4CFE-BABB-83D2AB4276D3}">
      <formula1>INDIRECT(A10)</formula1>
    </dataValidation>
    <dataValidation type="custom" allowBlank="1" showInputMessage="1" showErrorMessage="1" errorTitle="Invalid Employee ID" error="Please enter a valid unique six digit Employee ID." promptTitle="Employee ID" prompt="Enter Unique 6 Digit Employee ID." sqref="A8:B8" xr:uid="{6F1CF822-B67E-4616-BA14-3B87982646B4}">
      <formula1>AND(ISNUMBER(A8), A8 = INT(A8), LEN(A8) = 6)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0659" r:id="rId4" name="lblEvaluate">
          <controlPr defaultSize="0" autoLine="0" r:id="rId5">
            <anchor moveWithCells="1">
              <from>
                <xdr:col>7</xdr:col>
                <xdr:colOff>38100</xdr:colOff>
                <xdr:row>12</xdr:row>
                <xdr:rowOff>19050</xdr:rowOff>
              </from>
              <to>
                <xdr:col>9</xdr:col>
                <xdr:colOff>266700</xdr:colOff>
                <xdr:row>12</xdr:row>
                <xdr:rowOff>180975</xdr:rowOff>
              </to>
            </anchor>
          </controlPr>
        </control>
      </mc:Choice>
      <mc:Fallback>
        <control shapeId="70659" r:id="rId4" name="lblEvalu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100015</vt:lpstr>
      <vt:lpstr>100016</vt:lpstr>
      <vt:lpstr>100017</vt:lpstr>
      <vt:lpstr>100018</vt:lpstr>
      <vt:lpstr>100019</vt:lpstr>
      <vt:lpstr>100020</vt:lpstr>
      <vt:lpstr>100021</vt:lpstr>
      <vt:lpstr>100022</vt:lpstr>
      <vt:lpstr>100023</vt:lpstr>
      <vt:lpstr>100024</vt:lpstr>
      <vt:lpstr>100025</vt:lpstr>
      <vt:lpstr>100026</vt:lpstr>
      <vt:lpstr>100027</vt:lpstr>
      <vt:lpstr>100028</vt:lpstr>
      <vt:lpstr>100029</vt:lpstr>
      <vt:lpstr>100030</vt:lpstr>
      <vt:lpstr>100031</vt:lpstr>
      <vt:lpstr>'100015'!picture_here</vt:lpstr>
      <vt:lpstr>'100016'!picture_here</vt:lpstr>
      <vt:lpstr>'100017'!picture_here</vt:lpstr>
      <vt:lpstr>'100018'!picture_here</vt:lpstr>
      <vt:lpstr>'100019'!picture_here</vt:lpstr>
      <vt:lpstr>'100020'!picture_here</vt:lpstr>
      <vt:lpstr>'100021'!picture_here</vt:lpstr>
      <vt:lpstr>'100022'!picture_here</vt:lpstr>
      <vt:lpstr>'100023'!picture_here</vt:lpstr>
      <vt:lpstr>'100024'!picture_here</vt:lpstr>
      <vt:lpstr>'100025'!picture_here</vt:lpstr>
      <vt:lpstr>'100026'!picture_here</vt:lpstr>
      <vt:lpstr>'100027'!picture_here</vt:lpstr>
      <vt:lpstr>'100028'!picture_here</vt:lpstr>
      <vt:lpstr>'100029'!picture_here</vt:lpstr>
      <vt:lpstr>'100030'!picture_here</vt:lpstr>
      <vt:lpstr>'100031'!picture_here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Jaspher Atun</dc:creator>
  <cp:lastModifiedBy>Jaspher Atun</cp:lastModifiedBy>
  <dcterms:created xsi:type="dcterms:W3CDTF">2015-06-05T18:17:20Z</dcterms:created>
  <dcterms:modified xsi:type="dcterms:W3CDTF">2025-05-14T15:50:30Z</dcterms:modified>
</cp:coreProperties>
</file>