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Evaluation\"/>
    </mc:Choice>
  </mc:AlternateContent>
  <xr:revisionPtr revIDLastSave="0" documentId="13_ncr:1_{55C0EE78-FEE3-4E92-97C5-307CCC494D52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Employee" sheetId="3" r:id="rId1"/>
    <sheet name="Overview" sheetId="4" r:id="rId2"/>
    <sheet name="Tables" sheetId="2" state="hidden" r:id="rId3"/>
    <sheet name="Dashboard" sheetId="6" r:id="rId4"/>
  </sheets>
  <definedNames>
    <definedName name="_xlnm.Print_Area" localSheetId="0">Employee!$A$1:$I$65</definedName>
    <definedName name="printable_area">Employee!$A$1:$I$65</definedName>
    <definedName name="score">Tables!$B$2:$B$6</definedName>
  </definedNames>
  <calcPr calcId="191029"/>
  <pivotCaches>
    <pivotCache cacheId="0" r:id="rId5"/>
  </pivotCaches>
</workbook>
</file>

<file path=xl/calcChain.xml><?xml version="1.0" encoding="utf-8"?>
<calcChain xmlns="http://schemas.openxmlformats.org/spreadsheetml/2006/main">
  <c r="P2" i="6" l="1"/>
  <c r="M3" i="6" l="1"/>
  <c r="M2" i="6"/>
  <c r="D2" i="6"/>
  <c r="I9" i="2"/>
  <c r="I8" i="2"/>
  <c r="I7" i="2"/>
  <c r="I6" i="2"/>
  <c r="I5" i="2"/>
  <c r="I4" i="2"/>
  <c r="I3" i="2"/>
  <c r="I2" i="2"/>
  <c r="G38" i="3"/>
  <c r="D33" i="3" l="1"/>
  <c r="D35" i="3" s="1"/>
  <c r="D36" i="3" s="1"/>
  <c r="F38" i="3"/>
  <c r="E38" i="3"/>
  <c r="D38" i="3"/>
  <c r="C38" i="3"/>
  <c r="B38" i="3"/>
  <c r="A38" i="3"/>
  <c r="H13" i="3"/>
  <c r="H14" i="3"/>
  <c r="I14" i="3" s="1"/>
  <c r="H15" i="3"/>
  <c r="H16" i="3"/>
  <c r="I16" i="3" s="1"/>
  <c r="H17" i="3"/>
  <c r="I17" i="3" s="1"/>
  <c r="H18" i="3"/>
  <c r="I18" i="3" s="1"/>
  <c r="H19" i="3"/>
  <c r="I19" i="3" s="1"/>
  <c r="H20" i="3"/>
  <c r="I20" i="3" s="1"/>
  <c r="H21" i="3"/>
  <c r="I21" i="3" s="1"/>
  <c r="H22" i="3"/>
  <c r="I22" i="3" s="1"/>
  <c r="H23" i="3"/>
  <c r="I23" i="3" s="1"/>
  <c r="H24" i="3"/>
  <c r="I24" i="3" s="1"/>
  <c r="H25" i="3"/>
  <c r="I25" i="3" s="1"/>
  <c r="H26" i="3"/>
  <c r="I26" i="3" s="1"/>
  <c r="H27" i="3"/>
  <c r="I27" i="3" s="1"/>
  <c r="H28" i="3"/>
  <c r="I28" i="3" s="1"/>
  <c r="H29" i="3"/>
  <c r="I29" i="3" s="1"/>
  <c r="H30" i="3"/>
  <c r="I30" i="3" s="1"/>
  <c r="H31" i="3"/>
  <c r="I31" i="3" s="1"/>
  <c r="H32" i="3"/>
  <c r="I32" i="3" s="1"/>
  <c r="E53" i="3"/>
  <c r="F53" i="3"/>
  <c r="G53" i="3"/>
  <c r="D53" i="3"/>
  <c r="E52" i="3"/>
  <c r="F52" i="3"/>
  <c r="G52" i="3"/>
  <c r="D52" i="3"/>
  <c r="G50" i="3"/>
  <c r="G51" i="3"/>
  <c r="E51" i="3"/>
  <c r="F51" i="3"/>
  <c r="D51" i="3"/>
  <c r="F50" i="3"/>
  <c r="E50" i="3"/>
  <c r="D50" i="3"/>
  <c r="G33" i="3"/>
  <c r="G34" i="3" s="1"/>
  <c r="F33" i="3"/>
  <c r="F34" i="3" s="1"/>
  <c r="E33" i="3"/>
  <c r="E34" i="3" s="1"/>
  <c r="D34" i="3" l="1"/>
  <c r="H34" i="3" s="1"/>
  <c r="D57" i="3"/>
  <c r="E35" i="3"/>
  <c r="E36" i="3" s="1"/>
  <c r="D59" i="3"/>
  <c r="G35" i="3"/>
  <c r="G36" i="3" s="1"/>
  <c r="D58" i="3"/>
  <c r="F35" i="3"/>
  <c r="F36" i="3" s="1"/>
  <c r="D56" i="3"/>
  <c r="H33" i="3"/>
  <c r="H38" i="3" s="1"/>
  <c r="I15" i="3"/>
  <c r="G56" i="3"/>
  <c r="G57" i="3"/>
  <c r="G58" i="3"/>
  <c r="G59" i="3"/>
  <c r="I13" i="3"/>
  <c r="I38" i="3" l="1"/>
  <c r="E58" i="3"/>
  <c r="E56" i="3"/>
  <c r="H36" i="3"/>
  <c r="E62" i="3" s="1"/>
  <c r="H35" i="3"/>
  <c r="E60" i="3" s="1"/>
  <c r="K38" i="3" l="1"/>
  <c r="J67" i="3"/>
  <c r="J38" i="3"/>
</calcChain>
</file>

<file path=xl/sharedStrings.xml><?xml version="1.0" encoding="utf-8"?>
<sst xmlns="http://schemas.openxmlformats.org/spreadsheetml/2006/main" count="388" uniqueCount="165">
  <si>
    <t>Name of assessed:</t>
  </si>
  <si>
    <t>Evaluation scale and score</t>
  </si>
  <si>
    <t>Evaluation of project</t>
  </si>
  <si>
    <t>Evaluation score</t>
  </si>
  <si>
    <t>Final score</t>
  </si>
  <si>
    <t xml:space="preserve"> Remarks</t>
  </si>
  <si>
    <t>Work attitude</t>
  </si>
  <si>
    <t>Degree of enthusiasm</t>
  </si>
  <si>
    <t>Credit standing</t>
  </si>
  <si>
    <t>The sense of responsibility</t>
  </si>
  <si>
    <t>The sense of discipline</t>
  </si>
  <si>
    <t>Teamwork spirit</t>
  </si>
  <si>
    <t>Professional knowledge</t>
  </si>
  <si>
    <t>Professional business knowledge</t>
  </si>
  <si>
    <t>Relevant professional knowledge</t>
  </si>
  <si>
    <t>Foreign knowledge</t>
  </si>
  <si>
    <t>Computer knowledge</t>
  </si>
  <si>
    <t>Gain new knowledge</t>
  </si>
  <si>
    <t>Ability to work</t>
  </si>
  <si>
    <t>Verbal ability</t>
  </si>
  <si>
    <t>Logical thinking ability</t>
  </si>
  <si>
    <t>Guidance and guidance ability</t>
  </si>
  <si>
    <t>Interpersonal skills</t>
  </si>
  <si>
    <t>Ability to organize, manage and coordinate</t>
  </si>
  <si>
    <t xml:space="preserve"> Working  achievement</t>
  </si>
  <si>
    <t>Achievement of work objectives</t>
  </si>
  <si>
    <t>The work efficiency</t>
  </si>
  <si>
    <t>Quality of work</t>
  </si>
  <si>
    <t>Job cost control</t>
  </si>
  <si>
    <t>Combined score</t>
  </si>
  <si>
    <t xml:space="preserve">Work innovation efficiency
 </t>
  </si>
  <si>
    <t>Excellent</t>
  </si>
  <si>
    <t>Good</t>
  </si>
  <si>
    <t>Average</t>
  </si>
  <si>
    <t>Poor</t>
  </si>
  <si>
    <t>Extremely Poor</t>
  </si>
  <si>
    <t>Excellent  (5 points)   Good  (4 points)   Average  (3 points)   Poor  (2 points)   Extremely poor  (1 point)</t>
  </si>
  <si>
    <t>Position/Title:</t>
  </si>
  <si>
    <t>Department:</t>
  </si>
  <si>
    <t>Employee ID:</t>
  </si>
  <si>
    <t>Name of Evaluator(Superior):</t>
  </si>
  <si>
    <t>Name of Evaluator(Subordinate):</t>
  </si>
  <si>
    <t>Date of hire:</t>
  </si>
  <si>
    <t>Eval Score</t>
  </si>
  <si>
    <t>Needs Significant Improvement</t>
  </si>
  <si>
    <t>Below Expectations</t>
  </si>
  <si>
    <t>Remarks</t>
  </si>
  <si>
    <t>Meets Basic Standards</t>
  </si>
  <si>
    <t>Satisfactory</t>
  </si>
  <si>
    <t>Outstanding Performance</t>
  </si>
  <si>
    <t>Employee Performance Evaluation</t>
  </si>
  <si>
    <t>The Higher Evaluation</t>
  </si>
  <si>
    <t>Peer Appraisal</t>
  </si>
  <si>
    <t>Self Assessment</t>
  </si>
  <si>
    <t>Employee competency ratings based on (1) Superior Evaluation (2) Peer Evaluation (3) Subordinate Evaluation &amp; (4) Self-Assessment</t>
  </si>
  <si>
    <t>Date of Evaluation:</t>
  </si>
  <si>
    <t>Summary</t>
  </si>
  <si>
    <t>Work Attitude</t>
  </si>
  <si>
    <t>Professional Knowledge</t>
  </si>
  <si>
    <t>Working achievement</t>
  </si>
  <si>
    <t>Superior</t>
  </si>
  <si>
    <t>Name of Evaluator (Colleague):</t>
  </si>
  <si>
    <t>Colleague</t>
  </si>
  <si>
    <t>Subordinate</t>
  </si>
  <si>
    <t>Self-Assessment</t>
  </si>
  <si>
    <t>Weighted Score</t>
  </si>
  <si>
    <t>Evaluation Criteria</t>
  </si>
  <si>
    <t>Self</t>
  </si>
  <si>
    <t>Evaluator</t>
  </si>
  <si>
    <t>Score</t>
  </si>
  <si>
    <t>Criteria</t>
  </si>
  <si>
    <t>Total Score</t>
  </si>
  <si>
    <t>Employee ID</t>
  </si>
  <si>
    <t>Employee Name</t>
  </si>
  <si>
    <t>Department</t>
  </si>
  <si>
    <t>Superior Evaluator</t>
  </si>
  <si>
    <t>Date of Hire</t>
  </si>
  <si>
    <t>Date of Evaluation</t>
  </si>
  <si>
    <t>Total Combined Score</t>
  </si>
  <si>
    <t>Lower Level Evaluation</t>
  </si>
  <si>
    <t>Average score</t>
  </si>
  <si>
    <t>Weighted Average Score</t>
  </si>
  <si>
    <t>Position/Title</t>
  </si>
  <si>
    <t>Year of 2023</t>
  </si>
  <si>
    <t>Average Score</t>
  </si>
  <si>
    <t>Year of 2023 Employee Performance Evaluation Overview</t>
  </si>
  <si>
    <t>Evaluated Employees</t>
  </si>
  <si>
    <t>Evaluator 1</t>
  </si>
  <si>
    <t>Evaluator 2</t>
  </si>
  <si>
    <t>Evaluator 3</t>
  </si>
  <si>
    <t>Finance</t>
  </si>
  <si>
    <t>Accountant</t>
  </si>
  <si>
    <t>Kurt Emba</t>
  </si>
  <si>
    <t>Marketing Manager</t>
  </si>
  <si>
    <t>Marketing</t>
  </si>
  <si>
    <t>JB Gundan</t>
  </si>
  <si>
    <t>Sales</t>
  </si>
  <si>
    <t>Human Resource</t>
  </si>
  <si>
    <t>Operations</t>
  </si>
  <si>
    <t>IT</t>
  </si>
  <si>
    <t>Administration</t>
  </si>
  <si>
    <t>Customer Service</t>
  </si>
  <si>
    <t>Logistics Coordinator</t>
  </si>
  <si>
    <t>Charles Patrick Yanga</t>
  </si>
  <si>
    <t>Jaspher Atun</t>
  </si>
  <si>
    <t>Tech Support Specialist</t>
  </si>
  <si>
    <t>Customer_Service</t>
  </si>
  <si>
    <t>Alexa Abanto</t>
  </si>
  <si>
    <t>HR Manager</t>
  </si>
  <si>
    <t>Human_Resource</t>
  </si>
  <si>
    <t>Row Labels</t>
  </si>
  <si>
    <t>Sum of Average Score</t>
  </si>
  <si>
    <t>Number of Employees Evaluated:</t>
  </si>
  <si>
    <t>Employees Evaluated per Department</t>
  </si>
  <si>
    <t>Total</t>
  </si>
  <si>
    <t>Jasher Palangue</t>
  </si>
  <si>
    <t>Software Engineer</t>
  </si>
  <si>
    <t>Ezekiel Baraero</t>
  </si>
  <si>
    <t>IT Director</t>
  </si>
  <si>
    <t>Shanty Demition</t>
  </si>
  <si>
    <t>Receptionist</t>
  </si>
  <si>
    <t>Reynalyn Briones</t>
  </si>
  <si>
    <t>Sales Representative</t>
  </si>
  <si>
    <t>Hannah Jannelle Pangantihon</t>
  </si>
  <si>
    <t>Sales Coordinator</t>
  </si>
  <si>
    <t>Joshua Madera</t>
  </si>
  <si>
    <t>Training Specialist</t>
  </si>
  <si>
    <t>Aicah Sabangan</t>
  </si>
  <si>
    <t>Graphic Designer</t>
  </si>
  <si>
    <t>Evelyn Talisic</t>
  </si>
  <si>
    <t>Administrative Assistant</t>
  </si>
  <si>
    <t>Rea Edulan</t>
  </si>
  <si>
    <t>Sum of Weighted Score</t>
  </si>
  <si>
    <t>Sum of Weighted Average Score</t>
  </si>
  <si>
    <t>Sum of Total Combined Score</t>
  </si>
  <si>
    <t>John Smith</t>
  </si>
  <si>
    <t>Chief Financial Officer</t>
  </si>
  <si>
    <t>Generate Button is for example only.</t>
  </si>
  <si>
    <t>Karl Marx</t>
  </si>
  <si>
    <t>Mao Zedong</t>
  </si>
  <si>
    <t>Office Manager</t>
  </si>
  <si>
    <t>Agatha Christie</t>
  </si>
  <si>
    <t>CS Manager</t>
  </si>
  <si>
    <t>Joseph Stalin</t>
  </si>
  <si>
    <t>Quality Specialist</t>
  </si>
  <si>
    <t>Vladimir Putin</t>
  </si>
  <si>
    <t>Angela Davis</t>
  </si>
  <si>
    <t>HR Coordinator</t>
  </si>
  <si>
    <t>Nelson Mandela</t>
  </si>
  <si>
    <t>Payroll Specialist</t>
  </si>
  <si>
    <t>Friedrich Nietzsche</t>
  </si>
  <si>
    <t>Project Manager</t>
  </si>
  <si>
    <t>Immanuel Kant</t>
  </si>
  <si>
    <t>Web Developer</t>
  </si>
  <si>
    <t>Rene Descartes</t>
  </si>
  <si>
    <t>Account Manager</t>
  </si>
  <si>
    <t>Ted Bundy</t>
  </si>
  <si>
    <t>Top Performing Employee:</t>
  </si>
  <si>
    <t>Franz Kafka</t>
  </si>
  <si>
    <t>Comprehensive evaluation of work performance (Comments)</t>
  </si>
  <si>
    <t>Andy Weir</t>
  </si>
  <si>
    <t>Haruki Murakami</t>
  </si>
  <si>
    <t>Brandon Sanderson</t>
  </si>
  <si>
    <t>Network Admin</t>
  </si>
  <si>
    <t>Frank Herbert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</si>
</sst>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/mm/yyyy"/>
  </numFmts>
  <fonts count="39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0"/>
      <name val="Arial Unicode MS"/>
      <family val="2"/>
      <charset val="162"/>
    </font>
    <font>
      <sz val="9"/>
      <color theme="1"/>
      <name val="Arial Unicode MS"/>
      <family val="2"/>
      <charset val="162"/>
    </font>
    <font>
      <sz val="12"/>
      <color theme="1"/>
      <name val="Arial Unicode MS"/>
      <family val="2"/>
      <charset val="162"/>
    </font>
    <font>
      <b/>
      <sz val="12"/>
      <color theme="0"/>
      <name val="Arial Unicode MS"/>
      <family val="2"/>
      <charset val="162"/>
    </font>
    <font>
      <sz val="12"/>
      <color theme="0"/>
      <name val="Arial Unicode MS"/>
      <family val="2"/>
      <charset val="162"/>
    </font>
    <font>
      <b/>
      <sz val="12"/>
      <color theme="1"/>
      <name val="Arial Unicode MS"/>
    </font>
    <font>
      <sz val="16"/>
      <color theme="0"/>
      <name val="Arial Unicode MS"/>
      <family val="2"/>
      <charset val="16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Bahnschrift SemiBold"/>
      <family val="2"/>
    </font>
    <font>
      <sz val="9"/>
      <color theme="0"/>
      <name val="Arial Unicode MS"/>
      <family val="2"/>
      <charset val="162"/>
    </font>
    <font>
      <b/>
      <sz val="20"/>
      <color theme="0"/>
      <name val="Arial Unicode MS"/>
    </font>
    <font>
      <sz val="20"/>
      <color theme="0"/>
      <name val="Arial Unicode MS"/>
    </font>
    <font>
      <sz val="9"/>
      <color theme="4" tint="0.59999389629810485"/>
      <name val="Arial Unicode MS"/>
      <family val="2"/>
      <charset val="162"/>
    </font>
    <font>
      <sz val="11"/>
      <color theme="4" tint="0.59999389629810485"/>
      <name val="Calibri"/>
      <family val="2"/>
      <scheme val="minor"/>
    </font>
    <font>
      <sz val="18"/>
      <color theme="4"/>
      <name val="Aptos Narrow"/>
      <family val="2"/>
    </font>
    <font>
      <sz val="14"/>
      <color theme="1"/>
      <name val="Arial Unicode MS"/>
      <family val="2"/>
      <charset val="162"/>
    </font>
    <font>
      <sz val="14"/>
      <color theme="1"/>
      <name val="Bahnschrift SemiBold"/>
      <family val="2"/>
    </font>
    <font>
      <sz val="16"/>
      <color theme="1"/>
      <name val="Arial Unicode MS"/>
      <family val="2"/>
      <charset val="162"/>
    </font>
    <font>
      <sz val="11"/>
      <color theme="1"/>
      <name val="Calibri"/>
      <family val="2"/>
      <charset val="134"/>
      <scheme val="minor"/>
    </font>
    <font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6"/>
      <color theme="0"/>
      <name val="Arial"/>
      <family val="2"/>
    </font>
    <font>
      <b/>
      <sz val="18"/>
      <color rgb="FFC00000"/>
      <name val="Aptos Narrow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theme="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C8FD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30" fillId="0" borderId="0" applyNumberFormat="0" applyFill="0" applyBorder="0" applyAlignment="0" applyProtection="0"/>
  </cellStyleXfs>
  <cellXfs count="159">
    <xf numFmtId="0" fontId="0" fillId="0" borderId="0" xfId="0"/>
    <xf numFmtId="0" fontId="0" fillId="5" borderId="0" xfId="0" applyFill="1"/>
    <xf numFmtId="0" fontId="0" fillId="3" borderId="0" xfId="0" applyFill="1"/>
    <xf numFmtId="0" fontId="0" fillId="3" borderId="8" xfId="0" applyFill="1" applyBorder="1" applyAlignment="1">
      <alignment horizontal="center" vertical="center"/>
    </xf>
    <xf numFmtId="0" fontId="8" fillId="5" borderId="8" xfId="0" applyFont="1" applyFill="1" applyBorder="1"/>
    <xf numFmtId="0" fontId="0" fillId="0" borderId="0" xfId="0" applyAlignment="1">
      <alignment horizontal="center" vertical="center"/>
    </xf>
    <xf numFmtId="0" fontId="14" fillId="7" borderId="9" xfId="0" applyFont="1" applyFill="1" applyBorder="1" applyAlignment="1" applyProtection="1">
      <alignment horizontal="center" vertical="center" wrapText="1"/>
      <protection locked="0"/>
    </xf>
    <xf numFmtId="0" fontId="11" fillId="11" borderId="9" xfId="0" applyFont="1" applyFill="1" applyBorder="1" applyAlignment="1" applyProtection="1">
      <alignment horizontal="center" vertical="center" wrapText="1"/>
      <protection locked="0"/>
    </xf>
    <xf numFmtId="0" fontId="11" fillId="3" borderId="9" xfId="0" applyFont="1" applyFill="1" applyBorder="1" applyAlignment="1" applyProtection="1">
      <alignment horizontal="center" vertical="center" wrapText="1"/>
      <protection locked="0"/>
    </xf>
    <xf numFmtId="0" fontId="11" fillId="14" borderId="10" xfId="0" applyFont="1" applyFill="1" applyBorder="1" applyAlignment="1" applyProtection="1">
      <alignment horizontal="center" vertical="center" wrapText="1"/>
      <protection locked="0"/>
    </xf>
    <xf numFmtId="0" fontId="11" fillId="20" borderId="4" xfId="0" applyFont="1" applyFill="1" applyBorder="1" applyAlignment="1" applyProtection="1">
      <alignment horizontal="center" vertical="center" wrapText="1"/>
      <protection locked="0"/>
    </xf>
    <xf numFmtId="0" fontId="11" fillId="4" borderId="4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vertical="center"/>
    </xf>
    <xf numFmtId="0" fontId="25" fillId="13" borderId="4" xfId="0" applyFont="1" applyFill="1" applyBorder="1" applyAlignment="1">
      <alignment vertical="center" wrapText="1"/>
    </xf>
    <xf numFmtId="0" fontId="11" fillId="13" borderId="4" xfId="0" applyFont="1" applyFill="1" applyBorder="1" applyAlignment="1">
      <alignment vertical="center" wrapText="1"/>
    </xf>
    <xf numFmtId="0" fontId="11" fillId="13" borderId="4" xfId="0" applyFont="1" applyFill="1" applyBorder="1" applyAlignment="1">
      <alignment horizontal="center" vertical="center" wrapText="1"/>
    </xf>
    <xf numFmtId="0" fontId="11" fillId="8" borderId="9" xfId="0" applyFont="1" applyFill="1" applyBorder="1" applyAlignment="1">
      <alignment horizontal="center" vertical="center" wrapText="1"/>
    </xf>
    <xf numFmtId="0" fontId="11" fillId="15" borderId="4" xfId="0" applyFont="1" applyFill="1" applyBorder="1" applyAlignment="1">
      <alignment horizontal="center" vertical="center" wrapText="1"/>
    </xf>
    <xf numFmtId="0" fontId="11" fillId="15" borderId="9" xfId="0" applyFont="1" applyFill="1" applyBorder="1" applyAlignment="1">
      <alignment horizontal="center" vertical="center" wrapText="1"/>
    </xf>
    <xf numFmtId="0" fontId="11" fillId="22" borderId="9" xfId="0" applyFont="1" applyFill="1" applyBorder="1" applyAlignment="1">
      <alignment horizontal="center" vertical="center" wrapText="1"/>
    </xf>
    <xf numFmtId="0" fontId="11" fillId="22" borderId="4" xfId="0" applyFont="1" applyFill="1" applyBorder="1" applyAlignment="1">
      <alignment horizontal="center" vertical="center" wrapText="1"/>
    </xf>
    <xf numFmtId="0" fontId="11" fillId="18" borderId="4" xfId="0" applyFont="1" applyFill="1" applyBorder="1" applyAlignment="1">
      <alignment horizontal="center" vertical="center" wrapText="1"/>
    </xf>
    <xf numFmtId="0" fontId="11" fillId="19" borderId="4" xfId="0" applyFont="1" applyFill="1" applyBorder="1" applyAlignment="1">
      <alignment horizontal="center" vertical="center" wrapText="1"/>
    </xf>
    <xf numFmtId="0" fontId="14" fillId="5" borderId="4" xfId="0" applyFont="1" applyFill="1" applyBorder="1" applyAlignment="1">
      <alignment horizontal="center" vertical="center" wrapText="1"/>
    </xf>
    <xf numFmtId="0" fontId="14" fillId="24" borderId="4" xfId="0" applyFont="1" applyFill="1" applyBorder="1" applyAlignment="1">
      <alignment horizontal="center" vertical="center" wrapText="1"/>
    </xf>
    <xf numFmtId="1" fontId="14" fillId="24" borderId="4" xfId="0" applyNumberFormat="1" applyFont="1" applyFill="1" applyBorder="1" applyAlignment="1">
      <alignment horizontal="center" vertical="center" wrapText="1"/>
    </xf>
    <xf numFmtId="0" fontId="14" fillId="20" borderId="4" xfId="0" applyFont="1" applyFill="1" applyBorder="1" applyAlignment="1">
      <alignment horizontal="center" vertical="center" wrapText="1"/>
    </xf>
    <xf numFmtId="164" fontId="14" fillId="5" borderId="4" xfId="0" applyNumberFormat="1" applyFont="1" applyFill="1" applyBorder="1" applyAlignment="1">
      <alignment horizontal="center" vertical="center" wrapText="1"/>
    </xf>
    <xf numFmtId="0" fontId="14" fillId="25" borderId="4" xfId="0" applyFont="1" applyFill="1" applyBorder="1" applyAlignment="1">
      <alignment horizontal="center" vertical="center" wrapText="1"/>
    </xf>
    <xf numFmtId="164" fontId="14" fillId="25" borderId="4" xfId="0" applyNumberFormat="1" applyFont="1" applyFill="1" applyBorder="1" applyAlignment="1">
      <alignment horizontal="center" vertical="center" wrapText="1"/>
    </xf>
    <xf numFmtId="0" fontId="14" fillId="23" borderId="4" xfId="0" applyFont="1" applyFill="1" applyBorder="1" applyAlignment="1">
      <alignment horizontal="center" vertical="center" wrapText="1"/>
    </xf>
    <xf numFmtId="2" fontId="14" fillId="23" borderId="4" xfId="0" applyNumberFormat="1" applyFont="1" applyFill="1" applyBorder="1" applyAlignment="1">
      <alignment horizontal="center" vertical="center" wrapText="1"/>
    </xf>
    <xf numFmtId="2" fontId="14" fillId="20" borderId="4" xfId="0" applyNumberFormat="1" applyFont="1" applyFill="1" applyBorder="1" applyAlignment="1">
      <alignment horizontal="center" vertical="center" wrapText="1"/>
    </xf>
    <xf numFmtId="0" fontId="22" fillId="5" borderId="0" xfId="0" applyFont="1" applyFill="1" applyAlignment="1">
      <alignment horizontal="center" vertical="center"/>
    </xf>
    <xf numFmtId="0" fontId="23" fillId="5" borderId="0" xfId="0" applyFont="1" applyFill="1" applyAlignment="1">
      <alignment horizontal="center"/>
    </xf>
    <xf numFmtId="16" fontId="22" fillId="5" borderId="0" xfId="0" applyNumberFormat="1" applyFont="1" applyFill="1" applyAlignment="1">
      <alignment horizontal="center" vertical="center"/>
    </xf>
    <xf numFmtId="1" fontId="22" fillId="5" borderId="0" xfId="0" applyNumberFormat="1" applyFont="1" applyFill="1" applyAlignment="1">
      <alignment horizontal="center" vertical="center"/>
    </xf>
    <xf numFmtId="164" fontId="22" fillId="5" borderId="0" xfId="0" applyNumberFormat="1" applyFont="1" applyFill="1" applyAlignment="1">
      <alignment horizontal="center" vertical="center"/>
    </xf>
    <xf numFmtId="0" fontId="19" fillId="0" borderId="0" xfId="0" applyFont="1" applyAlignment="1">
      <alignment vertical="center"/>
    </xf>
    <xf numFmtId="2" fontId="19" fillId="4" borderId="0" xfId="0" applyNumberFormat="1" applyFont="1" applyFill="1" applyAlignment="1">
      <alignment vertical="center"/>
    </xf>
    <xf numFmtId="0" fontId="11" fillId="4" borderId="0" xfId="0" applyFont="1" applyFill="1" applyAlignment="1">
      <alignment vertical="center" wrapText="1"/>
    </xf>
    <xf numFmtId="0" fontId="11" fillId="21" borderId="0" xfId="0" applyFont="1" applyFill="1" applyAlignment="1">
      <alignment horizontal="center" vertical="center" wrapText="1"/>
    </xf>
    <xf numFmtId="0" fontId="10" fillId="21" borderId="0" xfId="0" applyFont="1" applyFill="1" applyAlignment="1">
      <alignment horizontal="center" vertical="center"/>
    </xf>
    <xf numFmtId="0" fontId="10" fillId="5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1" fontId="14" fillId="4" borderId="0" xfId="0" applyNumberFormat="1" applyFont="1" applyFill="1" applyAlignment="1">
      <alignment horizontal="center" vertical="center" wrapText="1"/>
    </xf>
    <xf numFmtId="2" fontId="14" fillId="4" borderId="0" xfId="0" applyNumberFormat="1" applyFont="1" applyFill="1" applyAlignment="1">
      <alignment horizontal="center" vertical="center"/>
    </xf>
    <xf numFmtId="0" fontId="10" fillId="21" borderId="0" xfId="0" applyFont="1" applyFill="1" applyAlignment="1">
      <alignment vertical="center"/>
    </xf>
    <xf numFmtId="0" fontId="10" fillId="4" borderId="0" xfId="0" applyFont="1" applyFill="1" applyAlignment="1">
      <alignment vertical="center"/>
    </xf>
    <xf numFmtId="0" fontId="6" fillId="4" borderId="0" xfId="0" applyFont="1" applyFill="1"/>
    <xf numFmtId="0" fontId="10" fillId="4" borderId="0" xfId="0" applyFont="1" applyFill="1" applyAlignment="1">
      <alignment horizontal="center" vertical="center"/>
    </xf>
    <xf numFmtId="0" fontId="5" fillId="4" borderId="0" xfId="0" applyFont="1" applyFill="1"/>
    <xf numFmtId="16" fontId="10" fillId="4" borderId="0" xfId="0" applyNumberFormat="1" applyFont="1" applyFill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5" fillId="0" borderId="0" xfId="0" applyFont="1" applyAlignment="1">
      <alignment horizontal="center"/>
    </xf>
    <xf numFmtId="16" fontId="10" fillId="0" borderId="0" xfId="0" applyNumberFormat="1" applyFont="1" applyAlignment="1">
      <alignment horizontal="center" vertical="center"/>
    </xf>
    <xf numFmtId="0" fontId="7" fillId="27" borderId="9" xfId="0" applyFont="1" applyFill="1" applyBorder="1" applyAlignment="1">
      <alignment horizontal="center" vertical="center"/>
    </xf>
    <xf numFmtId="0" fontId="4" fillId="27" borderId="9" xfId="0" applyFont="1" applyFill="1" applyBorder="1" applyAlignment="1">
      <alignment horizontal="center" vertical="center"/>
    </xf>
    <xf numFmtId="0" fontId="17" fillId="27" borderId="9" xfId="0" applyFont="1" applyFill="1" applyBorder="1" applyAlignment="1">
      <alignment horizontal="center" vertical="center" wrapText="1"/>
    </xf>
    <xf numFmtId="0" fontId="0" fillId="28" borderId="4" xfId="0" applyFill="1" applyBorder="1" applyAlignment="1">
      <alignment horizontal="center" vertical="center"/>
    </xf>
    <xf numFmtId="0" fontId="0" fillId="28" borderId="4" xfId="0" applyFill="1" applyBorder="1"/>
    <xf numFmtId="0" fontId="7" fillId="28" borderId="4" xfId="0" applyFont="1" applyFill="1" applyBorder="1" applyAlignment="1">
      <alignment horizontal="center" vertical="center"/>
    </xf>
    <xf numFmtId="0" fontId="4" fillId="28" borderId="4" xfId="0" applyFont="1" applyFill="1" applyBorder="1" applyAlignment="1">
      <alignment horizontal="center" vertical="center"/>
    </xf>
    <xf numFmtId="0" fontId="17" fillId="28" borderId="4" xfId="0" applyFont="1" applyFill="1" applyBorder="1" applyAlignment="1">
      <alignment horizontal="center" vertical="center"/>
    </xf>
    <xf numFmtId="0" fontId="17" fillId="28" borderId="4" xfId="0" applyFont="1" applyFill="1" applyBorder="1" applyAlignment="1">
      <alignment horizontal="center" vertical="center" wrapText="1"/>
    </xf>
    <xf numFmtId="14" fontId="7" fillId="28" borderId="4" xfId="0" applyNumberFormat="1" applyFont="1" applyFill="1" applyBorder="1" applyAlignment="1">
      <alignment horizontal="center" vertical="center"/>
    </xf>
    <xf numFmtId="14" fontId="0" fillId="28" borderId="4" xfId="0" applyNumberFormat="1" applyFill="1" applyBorder="1" applyAlignment="1">
      <alignment horizontal="center" vertical="center"/>
    </xf>
    <xf numFmtId="14" fontId="0" fillId="28" borderId="4" xfId="0" applyNumberFormat="1" applyFill="1" applyBorder="1"/>
    <xf numFmtId="14" fontId="3" fillId="28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0" xfId="0" applyFont="1"/>
    <xf numFmtId="0" fontId="2" fillId="0" borderId="0" xfId="0" applyFont="1"/>
    <xf numFmtId="2" fontId="0" fillId="0" borderId="0" xfId="0" applyNumberFormat="1"/>
    <xf numFmtId="0" fontId="2" fillId="28" borderId="4" xfId="0" applyFont="1" applyFill="1" applyBorder="1" applyAlignment="1">
      <alignment horizontal="center" vertical="center"/>
    </xf>
    <xf numFmtId="0" fontId="0" fillId="9" borderId="0" xfId="0" applyFill="1"/>
    <xf numFmtId="1" fontId="0" fillId="0" borderId="0" xfId="0" pivotButton="1" applyNumberFormat="1"/>
    <xf numFmtId="1" fontId="0" fillId="0" borderId="0" xfId="0" applyNumberFormat="1"/>
    <xf numFmtId="1" fontId="0" fillId="0" borderId="0" xfId="0" applyNumberFormat="1" applyAlignment="1">
      <alignment horizontal="left"/>
    </xf>
    <xf numFmtId="0" fontId="1" fillId="28" borderId="4" xfId="0" applyFont="1" applyFill="1" applyBorder="1" applyAlignment="1">
      <alignment horizontal="center" vertical="center"/>
    </xf>
    <xf numFmtId="165" fontId="7" fillId="28" borderId="4" xfId="0" applyNumberFormat="1" applyFont="1" applyFill="1" applyBorder="1" applyAlignment="1">
      <alignment horizontal="center" vertical="center"/>
    </xf>
    <xf numFmtId="0" fontId="30" fillId="28" borderId="4" xfId="1" applyFill="1" applyBorder="1" applyAlignment="1">
      <alignment horizontal="center" vertical="center"/>
    </xf>
    <xf numFmtId="0" fontId="31" fillId="28" borderId="4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32" fillId="10" borderId="14" xfId="0" applyFont="1" applyFill="1" applyBorder="1" applyAlignment="1">
      <alignment vertical="center"/>
    </xf>
    <xf numFmtId="0" fontId="35" fillId="29" borderId="9" xfId="0" applyFont="1" applyFill="1" applyBorder="1" applyAlignment="1">
      <alignment horizontal="center" vertical="center" wrapText="1"/>
    </xf>
    <xf numFmtId="2" fontId="35" fillId="28" borderId="4" xfId="0" applyNumberFormat="1" applyFont="1" applyFill="1" applyBorder="1" applyAlignment="1">
      <alignment horizontal="center" vertical="center" wrapText="1"/>
    </xf>
    <xf numFmtId="2" fontId="34" fillId="28" borderId="4" xfId="0" applyNumberFormat="1" applyFont="1" applyFill="1" applyBorder="1" applyAlignment="1">
      <alignment horizontal="center" vertical="center"/>
    </xf>
    <xf numFmtId="2" fontId="34" fillId="28" borderId="4" xfId="0" applyNumberFormat="1" applyFont="1" applyFill="1" applyBorder="1"/>
    <xf numFmtId="0" fontId="34" fillId="0" borderId="0" xfId="0" applyFont="1"/>
    <xf numFmtId="0" fontId="0" fillId="0" borderId="0" xfId="0" applyAlignment="1">
      <alignment horizontal="left" indent="1"/>
    </xf>
    <xf numFmtId="0" fontId="14" fillId="20" borderId="4" xfId="0" applyFont="1" applyFill="1" applyBorder="1" applyAlignment="1" applyProtection="1">
      <alignment horizontal="center" vertical="center" wrapText="1"/>
      <protection locked="0"/>
    </xf>
    <xf numFmtId="0" fontId="17" fillId="28" borderId="1" xfId="0" applyFont="1" applyFill="1" applyBorder="1" applyAlignment="1">
      <alignment horizontal="center" vertical="center" wrapText="1"/>
    </xf>
    <xf numFmtId="2" fontId="34" fillId="0" borderId="15" xfId="0" applyNumberFormat="1" applyFont="1" applyBorder="1"/>
    <xf numFmtId="2" fontId="37" fillId="3" borderId="4" xfId="0" applyNumberFormat="1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 wrapText="1"/>
    </xf>
    <xf numFmtId="0" fontId="14" fillId="8" borderId="2" xfId="0" applyFont="1" applyFill="1" applyBorder="1" applyAlignment="1">
      <alignment horizontal="center" vertical="center" wrapText="1"/>
    </xf>
    <xf numFmtId="0" fontId="14" fillId="8" borderId="3" xfId="0" applyFont="1" applyFill="1" applyBorder="1" applyAlignment="1">
      <alignment horizontal="center" vertical="center" wrapText="1"/>
    </xf>
    <xf numFmtId="0" fontId="14" fillId="15" borderId="1" xfId="0" applyFont="1" applyFill="1" applyBorder="1" applyAlignment="1">
      <alignment horizontal="center" vertical="center" wrapText="1"/>
    </xf>
    <xf numFmtId="0" fontId="14" fillId="15" borderId="2" xfId="0" applyFont="1" applyFill="1" applyBorder="1" applyAlignment="1">
      <alignment horizontal="center" vertical="center" wrapText="1"/>
    </xf>
    <xf numFmtId="0" fontId="14" fillId="15" borderId="3" xfId="0" applyFont="1" applyFill="1" applyBorder="1" applyAlignment="1">
      <alignment horizontal="center" vertical="center" wrapText="1"/>
    </xf>
    <xf numFmtId="0" fontId="11" fillId="5" borderId="0" xfId="0" applyFont="1" applyFill="1" applyAlignment="1">
      <alignment horizontal="center" vertical="center" wrapText="1"/>
    </xf>
    <xf numFmtId="0" fontId="20" fillId="21" borderId="0" xfId="0" applyFont="1" applyFill="1" applyAlignment="1">
      <alignment horizontal="center" vertical="center" wrapText="1"/>
    </xf>
    <xf numFmtId="0" fontId="21" fillId="21" borderId="0" xfId="0" applyFont="1" applyFill="1" applyAlignment="1">
      <alignment horizontal="center" vertical="center" wrapText="1"/>
    </xf>
    <xf numFmtId="0" fontId="11" fillId="13" borderId="4" xfId="0" applyFont="1" applyFill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11" fillId="18" borderId="1" xfId="0" applyFont="1" applyFill="1" applyBorder="1" applyAlignment="1">
      <alignment horizontal="center" vertical="center" wrapText="1"/>
    </xf>
    <xf numFmtId="0" fontId="11" fillId="18" borderId="3" xfId="0" applyFont="1" applyFill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4" fillId="23" borderId="1" xfId="0" applyFont="1" applyFill="1" applyBorder="1" applyAlignment="1">
      <alignment horizontal="center" vertical="center" wrapText="1"/>
    </xf>
    <xf numFmtId="0" fontId="14" fillId="23" borderId="2" xfId="0" applyFont="1" applyFill="1" applyBorder="1" applyAlignment="1">
      <alignment horizontal="center" vertical="center" wrapText="1"/>
    </xf>
    <xf numFmtId="0" fontId="14" fillId="23" borderId="3" xfId="0" applyFont="1" applyFill="1" applyBorder="1" applyAlignment="1">
      <alignment horizontal="center" vertical="center" wrapText="1"/>
    </xf>
    <xf numFmtId="0" fontId="14" fillId="5" borderId="4" xfId="0" applyFont="1" applyFill="1" applyBorder="1" applyAlignment="1">
      <alignment horizontal="center" vertical="center" wrapText="1"/>
    </xf>
    <xf numFmtId="0" fontId="14" fillId="26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33" fillId="4" borderId="1" xfId="0" applyFont="1" applyFill="1" applyBorder="1" applyAlignment="1">
      <alignment horizontal="center" vertical="center" wrapText="1"/>
    </xf>
    <xf numFmtId="0" fontId="33" fillId="4" borderId="2" xfId="0" applyFont="1" applyFill="1" applyBorder="1" applyAlignment="1">
      <alignment horizontal="center" vertical="center" wrapText="1"/>
    </xf>
    <xf numFmtId="0" fontId="33" fillId="4" borderId="3" xfId="0" applyFont="1" applyFill="1" applyBorder="1" applyAlignment="1">
      <alignment horizontal="center" vertical="center" wrapText="1"/>
    </xf>
    <xf numFmtId="0" fontId="24" fillId="4" borderId="1" xfId="0" applyFont="1" applyFill="1" applyBorder="1" applyAlignment="1" applyProtection="1">
      <alignment horizontal="center" vertical="center" wrapText="1"/>
      <protection locked="0"/>
    </xf>
    <xf numFmtId="0" fontId="24" fillId="4" borderId="2" xfId="0" applyFont="1" applyFill="1" applyBorder="1" applyAlignment="1" applyProtection="1">
      <alignment horizontal="center" vertical="center" wrapText="1"/>
      <protection locked="0"/>
    </xf>
    <xf numFmtId="0" fontId="24" fillId="4" borderId="3" xfId="0" applyFont="1" applyFill="1" applyBorder="1" applyAlignment="1" applyProtection="1">
      <alignment horizontal="center" vertical="center" wrapText="1"/>
      <protection locked="0"/>
    </xf>
    <xf numFmtId="14" fontId="33" fillId="4" borderId="1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 wrapText="1"/>
    </xf>
    <xf numFmtId="49" fontId="33" fillId="4" borderId="3" xfId="0" applyNumberFormat="1" applyFont="1" applyFill="1" applyBorder="1" applyAlignment="1">
      <alignment horizontal="center" vertical="center" wrapText="1"/>
    </xf>
    <xf numFmtId="0" fontId="15" fillId="16" borderId="7" xfId="0" applyFont="1" applyFill="1" applyBorder="1" applyAlignment="1">
      <alignment horizontal="center" vertical="center"/>
    </xf>
    <xf numFmtId="0" fontId="11" fillId="19" borderId="4" xfId="0" applyFont="1" applyFill="1" applyBorder="1" applyAlignment="1">
      <alignment horizontal="center" vertical="center" wrapText="1"/>
    </xf>
    <xf numFmtId="14" fontId="27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27" fillId="4" borderId="2" xfId="0" applyFont="1" applyFill="1" applyBorder="1" applyAlignment="1" applyProtection="1">
      <alignment horizontal="center" vertical="center" wrapText="1"/>
      <protection locked="0"/>
    </xf>
    <xf numFmtId="0" fontId="27" fillId="4" borderId="3" xfId="0" applyFont="1" applyFill="1" applyBorder="1" applyAlignment="1" applyProtection="1">
      <alignment horizontal="center" vertical="center" wrapText="1"/>
      <protection locked="0"/>
    </xf>
    <xf numFmtId="0" fontId="11" fillId="0" borderId="4" xfId="0" applyFont="1" applyBorder="1" applyAlignment="1">
      <alignment horizontal="center" vertical="top" wrapText="1"/>
    </xf>
    <xf numFmtId="0" fontId="13" fillId="16" borderId="2" xfId="0" applyFont="1" applyFill="1" applyBorder="1" applyAlignment="1">
      <alignment horizontal="center" vertical="center" wrapText="1"/>
    </xf>
    <xf numFmtId="0" fontId="13" fillId="16" borderId="7" xfId="0" applyFont="1" applyFill="1" applyBorder="1" applyAlignment="1">
      <alignment horizontal="center" vertical="center" wrapText="1"/>
    </xf>
    <xf numFmtId="0" fontId="12" fillId="12" borderId="5" xfId="0" applyFont="1" applyFill="1" applyBorder="1" applyAlignment="1">
      <alignment horizontal="center" vertical="center" wrapText="1"/>
    </xf>
    <xf numFmtId="0" fontId="12" fillId="12" borderId="6" xfId="0" applyFont="1" applyFill="1" applyBorder="1" applyAlignment="1">
      <alignment horizontal="center" vertical="center" wrapText="1"/>
    </xf>
    <xf numFmtId="0" fontId="12" fillId="16" borderId="4" xfId="0" applyFont="1" applyFill="1" applyBorder="1" applyAlignment="1">
      <alignment horizontal="center" vertical="center" wrapText="1"/>
    </xf>
    <xf numFmtId="0" fontId="11" fillId="15" borderId="4" xfId="0" applyFont="1" applyFill="1" applyBorder="1" applyAlignment="1">
      <alignment horizontal="center" vertical="center" wrapText="1"/>
    </xf>
    <xf numFmtId="0" fontId="11" fillId="4" borderId="4" xfId="0" applyFont="1" applyFill="1" applyBorder="1" applyAlignment="1">
      <alignment horizontal="center" vertical="center" wrapText="1"/>
    </xf>
    <xf numFmtId="0" fontId="12" fillId="17" borderId="4" xfId="0" applyFont="1" applyFill="1" applyBorder="1" applyAlignment="1">
      <alignment horizontal="center" vertical="center" wrapText="1"/>
    </xf>
    <xf numFmtId="0" fontId="26" fillId="13" borderId="11" xfId="0" applyFont="1" applyFill="1" applyBorder="1" applyAlignment="1">
      <alignment horizontal="center" vertical="center"/>
    </xf>
    <xf numFmtId="0" fontId="26" fillId="13" borderId="0" xfId="0" applyFont="1" applyFill="1" applyAlignment="1">
      <alignment horizontal="center" vertical="center"/>
    </xf>
    <xf numFmtId="0" fontId="18" fillId="11" borderId="10" xfId="0" applyFont="1" applyFill="1" applyBorder="1" applyAlignment="1">
      <alignment horizontal="center" vertical="center" wrapText="1"/>
    </xf>
    <xf numFmtId="0" fontId="18" fillId="11" borderId="7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29" fillId="13" borderId="12" xfId="0" applyFont="1" applyFill="1" applyBorder="1" applyAlignment="1">
      <alignment vertical="center"/>
    </xf>
    <xf numFmtId="0" fontId="29" fillId="13" borderId="13" xfId="0" applyFont="1" applyFill="1" applyBorder="1" applyAlignment="1">
      <alignment vertical="center"/>
    </xf>
    <xf numFmtId="0" fontId="36" fillId="7" borderId="4" xfId="0" applyFont="1" applyFill="1" applyBorder="1" applyAlignment="1">
      <alignment horizontal="center" vertical="center" wrapText="1"/>
    </xf>
    <xf numFmtId="0" fontId="38" fillId="3" borderId="4" xfId="0" applyFont="1" applyFill="1" applyBorder="1" applyAlignment="1">
      <alignment horizontal="center" vertical="center" wrapText="1"/>
    </xf>
    <xf numFmtId="0" fontId="34" fillId="3" borderId="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67">
    <dxf>
      <alignment horizontal="left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numFmt numFmtId="2" formatCode="0.00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165" formatCode="dd/mm/yyyy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auto="1"/>
        </top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charset val="16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charset val="16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charset val="16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charset val="16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charset val="16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charset val="16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charset val="16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charset val="16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charset val="16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charset val="16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charset val="16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charset val="16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charset val="16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charset val="16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charset val="16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charset val="16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charset val="16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Unicode MS"/>
        <family val="2"/>
        <charset val="16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Unicode MS"/>
        <family val="2"/>
        <charset val="16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Unicode MS"/>
        <family val="2"/>
        <charset val="16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Unicode MS"/>
        <family val="2"/>
        <charset val="16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charset val="162"/>
        <scheme val="none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8F8F"/>
        </patternFill>
      </fill>
    </dxf>
    <dxf>
      <fill>
        <patternFill>
          <bgColor theme="0" tint="-0.34998626667073579"/>
        </patternFill>
      </fill>
    </dxf>
    <dxf>
      <font>
        <color theme="9" tint="-0.24994659260841701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rgb="FFC00000"/>
      </font>
    </dxf>
    <dxf>
      <font>
        <color theme="9" tint="-0.24994659260841701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rgb="FFC00000"/>
      </font>
    </dxf>
  </dxfs>
  <tableStyles count="0" defaultTableStyle="TableStyleMedium2" defaultPivotStyle="PivotStyleLight16"/>
  <colors>
    <mruColors>
      <color rgb="FFFF9900"/>
      <color rgb="FF93E3FF"/>
      <color rgb="FFFFF2CC"/>
      <color rgb="FFFF8F8F"/>
      <color rgb="FFBC8FDD"/>
      <color rgb="FFBF8F00"/>
      <color rgb="FF703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Criteria Score</a:t>
            </a:r>
          </a:p>
        </c:rich>
      </c:tx>
      <c:layout>
        <c:manualLayout>
          <c:xMode val="edge"/>
          <c:yMode val="edge"/>
          <c:x val="0.39259269117827011"/>
          <c:y val="3.03452739198584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519538633816931E-2"/>
          <c:y val="0.11609985745572116"/>
          <c:w val="0.90013539157307199"/>
          <c:h val="0.7417025647250316"/>
        </c:manualLayout>
      </c:layout>
      <c:doughnutChart>
        <c:varyColors val="1"/>
        <c:ser>
          <c:idx val="0"/>
          <c:order val="0"/>
          <c:tx>
            <c:strRef>
              <c:f>Employee!$G$55</c:f>
              <c:strCache>
                <c:ptCount val="1"/>
                <c:pt idx="0">
                  <c:v>Total Score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8C66-4150-B211-1FD035E5050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C66-4150-B211-1FD035E5050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8C66-4150-B211-1FD035E5050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C66-4150-B211-1FD035E50503}"/>
              </c:ext>
            </c:extLst>
          </c:dPt>
          <c:dLbls>
            <c:dLbl>
              <c:idx val="0"/>
              <c:layout>
                <c:manualLayout>
                  <c:x val="0.11252957875680607"/>
                  <c:y val="-6.3212401133841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66-4150-B211-1FD035E50503}"/>
                </c:ext>
              </c:extLst>
            </c:dLbl>
            <c:dLbl>
              <c:idx val="1"/>
              <c:layout>
                <c:manualLayout>
                  <c:x val="9.9290804785417117E-2"/>
                  <c:y val="5.267700094486778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66-4150-B211-1FD035E50503}"/>
                </c:ext>
              </c:extLst>
            </c:dLbl>
            <c:dLbl>
              <c:idx val="2"/>
              <c:layout>
                <c:manualLayout>
                  <c:x val="-0.10149726711398202"/>
                  <c:y val="4.565340081888528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66-4150-B211-1FD035E50503}"/>
                </c:ext>
              </c:extLst>
            </c:dLbl>
            <c:dLbl>
              <c:idx val="3"/>
              <c:layout>
                <c:manualLayout>
                  <c:x val="-0.13680066437101926"/>
                  <c:y val="-1.755900031495592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C66-4150-B211-1FD035E505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Employee!$F$56:$F$59</c:f>
              <c:strCache>
                <c:ptCount val="4"/>
                <c:pt idx="0">
                  <c:v>Work Attitude</c:v>
                </c:pt>
                <c:pt idx="1">
                  <c:v>Professional Knowledge</c:v>
                </c:pt>
                <c:pt idx="2">
                  <c:v>Ability to work</c:v>
                </c:pt>
                <c:pt idx="3">
                  <c:v>Working achievement</c:v>
                </c:pt>
              </c:strCache>
            </c:strRef>
          </c:cat>
          <c:val>
            <c:numRef>
              <c:f>Employee!$G$56:$G$59</c:f>
              <c:numCache>
                <c:formatCode>General</c:formatCode>
                <c:ptCount val="4"/>
                <c:pt idx="0">
                  <c:v>54</c:v>
                </c:pt>
                <c:pt idx="1">
                  <c:v>64</c:v>
                </c:pt>
                <c:pt idx="2">
                  <c:v>58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66-4150-B211-1FD035E5050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Employee!$E$55</c:f>
              <c:strCache>
                <c:ptCount val="1"/>
                <c:pt idx="0">
                  <c:v>Total Combined Score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87C-4DA1-ADB8-B6A92DC775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Employee!$E$56</c:f>
              <c:numCache>
                <c:formatCode>0</c:formatCode>
                <c:ptCount val="1"/>
                <c:pt idx="0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7C-4DA1-ADB8-B6A92DC7752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41779152"/>
        <c:axId val="341763344"/>
      </c:barChart>
      <c:catAx>
        <c:axId val="34177915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crossAx val="341763344"/>
        <c:crosses val="autoZero"/>
        <c:auto val="1"/>
        <c:lblAlgn val="ctr"/>
        <c:lblOffset val="100"/>
        <c:noMultiLvlLbl val="0"/>
      </c:catAx>
      <c:valAx>
        <c:axId val="3417633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7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Criteria score per Evaluator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Employee!$C$50</c:f>
              <c:strCache>
                <c:ptCount val="1"/>
                <c:pt idx="0">
                  <c:v>Work Attitude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Employee!$D$49:$G$49</c:f>
              <c:strCache>
                <c:ptCount val="4"/>
                <c:pt idx="0">
                  <c:v>Superior</c:v>
                </c:pt>
                <c:pt idx="1">
                  <c:v>Colleague</c:v>
                </c:pt>
                <c:pt idx="2">
                  <c:v>Subordinate</c:v>
                </c:pt>
                <c:pt idx="3">
                  <c:v>Self</c:v>
                </c:pt>
              </c:strCache>
            </c:strRef>
          </c:cat>
          <c:val>
            <c:numRef>
              <c:f>Employee!$D$50:$G$50</c:f>
              <c:numCache>
                <c:formatCode>General</c:formatCode>
                <c:ptCount val="4"/>
                <c:pt idx="0">
                  <c:v>13</c:v>
                </c:pt>
                <c:pt idx="1">
                  <c:v>19</c:v>
                </c:pt>
                <c:pt idx="2">
                  <c:v>10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0-4A1D-9505-FF4B90C48C79}"/>
            </c:ext>
          </c:extLst>
        </c:ser>
        <c:ser>
          <c:idx val="1"/>
          <c:order val="1"/>
          <c:tx>
            <c:strRef>
              <c:f>Employee!$C$51</c:f>
              <c:strCache>
                <c:ptCount val="1"/>
                <c:pt idx="0">
                  <c:v>Professional Knowledge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Employee!$D$49:$G$49</c:f>
              <c:strCache>
                <c:ptCount val="4"/>
                <c:pt idx="0">
                  <c:v>Superior</c:v>
                </c:pt>
                <c:pt idx="1">
                  <c:v>Colleague</c:v>
                </c:pt>
                <c:pt idx="2">
                  <c:v>Subordinate</c:v>
                </c:pt>
                <c:pt idx="3">
                  <c:v>Self</c:v>
                </c:pt>
              </c:strCache>
            </c:strRef>
          </c:cat>
          <c:val>
            <c:numRef>
              <c:f>Employee!$D$51:$G$51</c:f>
              <c:numCache>
                <c:formatCode>General</c:formatCode>
                <c:ptCount val="4"/>
                <c:pt idx="0">
                  <c:v>14</c:v>
                </c:pt>
                <c:pt idx="1">
                  <c:v>19</c:v>
                </c:pt>
                <c:pt idx="2">
                  <c:v>15</c:v>
                </c:pt>
                <c:pt idx="3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F0-4A1D-9505-FF4B90C48C79}"/>
            </c:ext>
          </c:extLst>
        </c:ser>
        <c:ser>
          <c:idx val="2"/>
          <c:order val="2"/>
          <c:tx>
            <c:strRef>
              <c:f>Employee!$C$52</c:f>
              <c:strCache>
                <c:ptCount val="1"/>
                <c:pt idx="0">
                  <c:v>Ability to work</c:v>
                </c:pt>
              </c:strCache>
            </c:strRef>
          </c:tx>
          <c:spPr>
            <a:gradFill flip="none" rotWithShape="1">
              <a:gsLst>
                <a:gs pos="0">
                  <a:schemeClr val="accent3"/>
                </a:gs>
                <a:gs pos="75000">
                  <a:schemeClr val="accent3">
                    <a:lumMod val="60000"/>
                    <a:lumOff val="40000"/>
                  </a:schemeClr>
                </a:gs>
                <a:gs pos="51000">
                  <a:schemeClr val="accent3">
                    <a:alpha val="75000"/>
                  </a:schemeClr>
                </a:gs>
                <a:gs pos="100000">
                  <a:schemeClr val="accent3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Employee!$D$49:$G$49</c:f>
              <c:strCache>
                <c:ptCount val="4"/>
                <c:pt idx="0">
                  <c:v>Superior</c:v>
                </c:pt>
                <c:pt idx="1">
                  <c:v>Colleague</c:v>
                </c:pt>
                <c:pt idx="2">
                  <c:v>Subordinate</c:v>
                </c:pt>
                <c:pt idx="3">
                  <c:v>Self</c:v>
                </c:pt>
              </c:strCache>
            </c:strRef>
          </c:cat>
          <c:val>
            <c:numRef>
              <c:f>Employee!$D$52:$G$52</c:f>
              <c:numCache>
                <c:formatCode>General</c:formatCode>
                <c:ptCount val="4"/>
                <c:pt idx="0">
                  <c:v>14</c:v>
                </c:pt>
                <c:pt idx="1">
                  <c:v>21</c:v>
                </c:pt>
                <c:pt idx="2">
                  <c:v>6</c:v>
                </c:pt>
                <c:pt idx="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F0-4A1D-9505-FF4B90C48C79}"/>
            </c:ext>
          </c:extLst>
        </c:ser>
        <c:ser>
          <c:idx val="3"/>
          <c:order val="3"/>
          <c:tx>
            <c:strRef>
              <c:f>Employee!$C$53</c:f>
              <c:strCache>
                <c:ptCount val="1"/>
                <c:pt idx="0">
                  <c:v>Working achievement</c:v>
                </c:pt>
              </c:strCache>
            </c:strRef>
          </c:tx>
          <c:spPr>
            <a:gradFill flip="none" rotWithShape="1">
              <a:gsLst>
                <a:gs pos="0">
                  <a:schemeClr val="accent4"/>
                </a:gs>
                <a:gs pos="75000">
                  <a:schemeClr val="accent4">
                    <a:lumMod val="60000"/>
                    <a:lumOff val="40000"/>
                  </a:schemeClr>
                </a:gs>
                <a:gs pos="51000">
                  <a:schemeClr val="accent4">
                    <a:alpha val="75000"/>
                  </a:schemeClr>
                </a:gs>
                <a:gs pos="100000">
                  <a:schemeClr val="accent4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Employee!$D$49:$G$49</c:f>
              <c:strCache>
                <c:ptCount val="4"/>
                <c:pt idx="0">
                  <c:v>Superior</c:v>
                </c:pt>
                <c:pt idx="1">
                  <c:v>Colleague</c:v>
                </c:pt>
                <c:pt idx="2">
                  <c:v>Subordinate</c:v>
                </c:pt>
                <c:pt idx="3">
                  <c:v>Self</c:v>
                </c:pt>
              </c:strCache>
            </c:strRef>
          </c:cat>
          <c:val>
            <c:numRef>
              <c:f>Employee!$D$53:$G$53</c:f>
              <c:numCache>
                <c:formatCode>General</c:formatCode>
                <c:ptCount val="4"/>
                <c:pt idx="0">
                  <c:v>12</c:v>
                </c:pt>
                <c:pt idx="1">
                  <c:v>11</c:v>
                </c:pt>
                <c:pt idx="2">
                  <c:v>17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F0-4A1D-9505-FF4B90C48C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1591931103"/>
        <c:axId val="1591931519"/>
      </c:barChart>
      <c:catAx>
        <c:axId val="159193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1931519"/>
        <c:crosses val="autoZero"/>
        <c:auto val="1"/>
        <c:lblAlgn val="ctr"/>
        <c:lblOffset val="100"/>
        <c:noMultiLvlLbl val="0"/>
      </c:catAx>
      <c:valAx>
        <c:axId val="159193151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1931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Employee!$D$55</c:f>
              <c:strCache>
                <c:ptCount val="1"/>
                <c:pt idx="0">
                  <c:v>Score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F0B8-48CE-B955-5D206BB047F5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F0B8-48CE-B955-5D206BB047F5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F0B8-48CE-B955-5D206BB047F5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0-F0B8-48CE-B955-5D206BB047F5}"/>
              </c:ext>
            </c:extLst>
          </c:dPt>
          <c:dLbls>
            <c:dLbl>
              <c:idx val="0"/>
              <c:layout>
                <c:manualLayout>
                  <c:x val="0.12525957297172979"/>
                  <c:y val="2.707205238844502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B8-48CE-B955-5D206BB047F5}"/>
                </c:ext>
              </c:extLst>
            </c:dLbl>
            <c:dLbl>
              <c:idx val="1"/>
              <c:layout>
                <c:manualLayout>
                  <c:x val="8.3662667963972773E-2"/>
                  <c:y val="-3.459175925418243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B8-48CE-B955-5D206BB047F5}"/>
                </c:ext>
              </c:extLst>
            </c:dLbl>
            <c:dLbl>
              <c:idx val="2"/>
              <c:layout>
                <c:manualLayout>
                  <c:x val="-6.4721270406371698E-2"/>
                  <c:y val="-5.199162157057890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B8-48CE-B955-5D206BB047F5}"/>
                </c:ext>
              </c:extLst>
            </c:dLbl>
            <c:dLbl>
              <c:idx val="3"/>
              <c:layout>
                <c:manualLayout>
                  <c:x val="-7.7625625206015222E-2"/>
                  <c:y val="5.621268184509321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B8-48CE-B955-5D206BB047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Employee!$C$56:$C$59</c:f>
              <c:strCache>
                <c:ptCount val="4"/>
                <c:pt idx="0">
                  <c:v>Superior</c:v>
                </c:pt>
                <c:pt idx="1">
                  <c:v>Colleague</c:v>
                </c:pt>
                <c:pt idx="2">
                  <c:v>Subordinate</c:v>
                </c:pt>
                <c:pt idx="3">
                  <c:v>Self-Assessment</c:v>
                </c:pt>
              </c:strCache>
            </c:strRef>
          </c:cat>
          <c:val>
            <c:numRef>
              <c:f>Employee!$D$56:$D$59</c:f>
              <c:numCache>
                <c:formatCode>General</c:formatCode>
                <c:ptCount val="4"/>
                <c:pt idx="0">
                  <c:v>53</c:v>
                </c:pt>
                <c:pt idx="1">
                  <c:v>70</c:v>
                </c:pt>
                <c:pt idx="2">
                  <c:v>48</c:v>
                </c:pt>
                <c:pt idx="3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05-408A-BA35-0D5EF1C17DBC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solidFill>
          <a:srgbClr val="FF0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Employee!$E$61</c:f>
              <c:strCache>
                <c:ptCount val="1"/>
                <c:pt idx="0">
                  <c:v>Weighted Average Score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4472C4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Employee!$E$62</c:f>
              <c:numCache>
                <c:formatCode>0.00</c:formatCode>
                <c:ptCount val="1"/>
                <c:pt idx="0">
                  <c:v>2.9150000000000005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17-449D-B531-C6B4FCC2A1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393599231"/>
        <c:axId val="92464863"/>
      </c:barChart>
      <c:catAx>
        <c:axId val="393599231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2464863"/>
        <c:crosses val="autoZero"/>
        <c:auto val="1"/>
        <c:lblAlgn val="ctr"/>
        <c:lblOffset val="100"/>
        <c:noMultiLvlLbl val="0"/>
      </c:catAx>
      <c:valAx>
        <c:axId val="92464863"/>
        <c:scaling>
          <c:orientation val="minMax"/>
          <c:max val="5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99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Employees Evaluated</a:t>
            </a:r>
            <a:r>
              <a:rPr lang="en-US" sz="1800" b="1" baseline="0">
                <a:solidFill>
                  <a:schemeClr val="tx1"/>
                </a:solidFill>
              </a:rPr>
              <a:t> per Department</a:t>
            </a:r>
            <a:endParaRPr lang="en-US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1995887696198907"/>
          <c:y val="2.60618088350464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Tables!$I$1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DC-428D-BBCC-6076CB1356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DC-428D-BBCC-6076CB1356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DC-428D-BBCC-6076CB1356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DC-428D-BBCC-6076CB1356F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DC-428D-BBCC-6076CB1356F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DC-428D-BBCC-6076CB1356F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8DC-428D-BBCC-6076CB1356F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8DC-428D-BBCC-6076CB1356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Tables!$H$2:$H$9</c:f>
              <c:strCache>
                <c:ptCount val="8"/>
                <c:pt idx="0">
                  <c:v>Human Resource</c:v>
                </c:pt>
                <c:pt idx="1">
                  <c:v>Finance</c:v>
                </c:pt>
                <c:pt idx="2">
                  <c:v>Marketing</c:v>
                </c:pt>
                <c:pt idx="3">
                  <c:v>Sales</c:v>
                </c:pt>
                <c:pt idx="4">
                  <c:v>Operations</c:v>
                </c:pt>
                <c:pt idx="5">
                  <c:v>IT</c:v>
                </c:pt>
                <c:pt idx="6">
                  <c:v>Customer Service</c:v>
                </c:pt>
                <c:pt idx="7">
                  <c:v>Administration</c:v>
                </c:pt>
              </c:strCache>
            </c:strRef>
          </c:cat>
          <c:val>
            <c:numRef>
              <c:f>Tables!$I$2:$I$9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8DC-428D-BBCC-6076CB1356F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[Performance Evaluation.xlsm]Tables!PivotTable14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PH" b="1">
                <a:solidFill>
                  <a:schemeClr val="tx1"/>
                </a:solidFill>
              </a:rPr>
              <a:t>Average Score per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solidFill>
            <a:srgbClr val="FF9900"/>
          </a:solidFill>
          <a:ln>
            <a:noFill/>
          </a:ln>
          <a:effectLst/>
        </c:spPr>
      </c:pivotFmt>
      <c:pivotFmt>
        <c:idx val="8"/>
        <c:spPr>
          <a:solidFill>
            <a:srgbClr val="7030A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Tables!$C$13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99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8FEA-4F19-A869-361036F6C95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FEA-4F19-A869-361036F6C95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FEA-4F19-A869-361036F6C95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EA-4F19-A869-361036F6C95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FEA-4F19-A869-361036F6C95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EA-4F19-A869-361036F6C95B}"/>
              </c:ext>
            </c:extLst>
          </c:dPt>
          <c:dPt>
            <c:idx val="6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FEA-4F19-A869-361036F6C95B}"/>
              </c:ext>
            </c:extLst>
          </c:dPt>
          <c:dPt>
            <c:idx val="7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FEA-4F19-A869-361036F6C9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Tables!$B$14:$B$21</c:f>
              <c:strCache>
                <c:ptCount val="8"/>
                <c:pt idx="0">
                  <c:v>Finance</c:v>
                </c:pt>
                <c:pt idx="1">
                  <c:v>Operations</c:v>
                </c:pt>
                <c:pt idx="2">
                  <c:v>IT</c:v>
                </c:pt>
                <c:pt idx="3">
                  <c:v>Sales</c:v>
                </c:pt>
                <c:pt idx="4">
                  <c:v>Human_Resource</c:v>
                </c:pt>
                <c:pt idx="5">
                  <c:v>Administration</c:v>
                </c:pt>
                <c:pt idx="6">
                  <c:v>Customer_Service</c:v>
                </c:pt>
                <c:pt idx="7">
                  <c:v>Marketing</c:v>
                </c:pt>
              </c:strCache>
            </c:strRef>
          </c:cat>
          <c:val>
            <c:numRef>
              <c:f>Tables!$C$14:$C$21</c:f>
              <c:numCache>
                <c:formatCode>General</c:formatCode>
                <c:ptCount val="8"/>
                <c:pt idx="0">
                  <c:v>62.5</c:v>
                </c:pt>
                <c:pt idx="1">
                  <c:v>51.1</c:v>
                </c:pt>
                <c:pt idx="2">
                  <c:v>49.300000000000004</c:v>
                </c:pt>
                <c:pt idx="3">
                  <c:v>49.099999999999994</c:v>
                </c:pt>
                <c:pt idx="4">
                  <c:v>48.5</c:v>
                </c:pt>
                <c:pt idx="5">
                  <c:v>48.3</c:v>
                </c:pt>
                <c:pt idx="6">
                  <c:v>36.950000000000003</c:v>
                </c:pt>
                <c:pt idx="7">
                  <c:v>35.950000000000003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46-41DD-AF7D-F41AA7EE5EC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736413871"/>
        <c:axId val="736420111"/>
      </c:barChart>
      <c:catAx>
        <c:axId val="736413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420111"/>
        <c:crosses val="autoZero"/>
        <c:auto val="1"/>
        <c:lblAlgn val="ctr"/>
        <c:lblOffset val="100"/>
        <c:noMultiLvlLbl val="0"/>
      </c:catAx>
      <c:valAx>
        <c:axId val="736420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413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[Performance Evaluation.xlsm]Tables!PivotTable37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Top 10 Employees by </a:t>
            </a:r>
            <a:r>
              <a:rPr lang="en-US" b="1">
                <a:solidFill>
                  <a:srgbClr val="FF0000"/>
                </a:solidFill>
              </a:rPr>
              <a:t>Weighted Average</a:t>
            </a:r>
            <a:r>
              <a:rPr lang="en-US" b="1" baseline="0">
                <a:solidFill>
                  <a:srgbClr val="FF0000"/>
                </a:solidFill>
              </a:rPr>
              <a:t> </a:t>
            </a:r>
            <a:r>
              <a:rPr lang="en-US" b="1">
                <a:solidFill>
                  <a:srgbClr val="FF0000"/>
                </a:solidFill>
              </a:rPr>
              <a:t>Score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667601177640013"/>
          <c:y val="0.11038921452489159"/>
          <c:w val="0.7659546459103338"/>
          <c:h val="0.8423454006178456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Tables!$C$25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Tables!$B$26:$B$35</c:f>
              <c:strCache>
                <c:ptCount val="10"/>
                <c:pt idx="0">
                  <c:v>Shanty Demition</c:v>
                </c:pt>
                <c:pt idx="1">
                  <c:v>Mao Zedong</c:v>
                </c:pt>
                <c:pt idx="2">
                  <c:v>Alexa Abanto</c:v>
                </c:pt>
                <c:pt idx="3">
                  <c:v>Ted Bundy</c:v>
                </c:pt>
                <c:pt idx="4">
                  <c:v>Nelson Mandela</c:v>
                </c:pt>
                <c:pt idx="5">
                  <c:v>Joseph Stalin</c:v>
                </c:pt>
                <c:pt idx="6">
                  <c:v>Joshua Madera</c:v>
                </c:pt>
                <c:pt idx="7">
                  <c:v>Franz Kafka</c:v>
                </c:pt>
                <c:pt idx="8">
                  <c:v>Andy Weir</c:v>
                </c:pt>
                <c:pt idx="9">
                  <c:v>Haruki Murakami</c:v>
                </c:pt>
              </c:strCache>
            </c:strRef>
          </c:cat>
          <c:val>
            <c:numRef>
              <c:f>Tables!$C$26:$C$35</c:f>
              <c:numCache>
                <c:formatCode>0.00</c:formatCode>
                <c:ptCount val="10"/>
                <c:pt idx="0">
                  <c:v>3.1349999999999998</c:v>
                </c:pt>
                <c:pt idx="1">
                  <c:v>3.2150000000000003</c:v>
                </c:pt>
                <c:pt idx="2">
                  <c:v>3.22</c:v>
                </c:pt>
                <c:pt idx="3">
                  <c:v>3.26</c:v>
                </c:pt>
                <c:pt idx="4">
                  <c:v>3.2800000000000002</c:v>
                </c:pt>
                <c:pt idx="5">
                  <c:v>3.3200000000000003</c:v>
                </c:pt>
                <c:pt idx="6">
                  <c:v>3.37</c:v>
                </c:pt>
                <c:pt idx="7">
                  <c:v>3.3850000000000002</c:v>
                </c:pt>
                <c:pt idx="8">
                  <c:v>3.42</c:v>
                </c:pt>
                <c:pt idx="9">
                  <c:v>3.6050000000000009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6A-491E-9AD3-6E2348E17D4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974230319"/>
        <c:axId val="974243279"/>
      </c:barChart>
      <c:catAx>
        <c:axId val="9742303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243279"/>
        <c:crosses val="autoZero"/>
        <c:auto val="1"/>
        <c:lblAlgn val="ctr"/>
        <c:lblOffset val="100"/>
        <c:noMultiLvlLbl val="0"/>
      </c:catAx>
      <c:valAx>
        <c:axId val="974243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230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accent4">
        <a:lumMod val="60000"/>
        <a:lumOff val="40000"/>
      </a:schemeClr>
    </a:solidFill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[Performance Evaluation.xlsm]Tables!PivotTable2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Top 10 Employees by </a:t>
            </a:r>
            <a:r>
              <a:rPr lang="en-US">
                <a:solidFill>
                  <a:schemeClr val="accent6">
                    <a:lumMod val="50000"/>
                  </a:schemeClr>
                </a:solidFill>
              </a:rPr>
              <a:t>Weighted 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100337796689525"/>
          <c:y val="7.880504396484822E-2"/>
          <c:w val="0.7738439430695806"/>
          <c:h val="0.8749480421138289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Tables!$G$25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Tables!$F$26:$F$35</c:f>
              <c:strCache>
                <c:ptCount val="10"/>
                <c:pt idx="0">
                  <c:v>Shanty Demition</c:v>
                </c:pt>
                <c:pt idx="1">
                  <c:v>Mao Zedong</c:v>
                </c:pt>
                <c:pt idx="2">
                  <c:v>Alexa Abanto</c:v>
                </c:pt>
                <c:pt idx="3">
                  <c:v>Ted Bundy</c:v>
                </c:pt>
                <c:pt idx="4">
                  <c:v>Nelson Mandela</c:v>
                </c:pt>
                <c:pt idx="5">
                  <c:v>Joseph Stalin</c:v>
                </c:pt>
                <c:pt idx="6">
                  <c:v>Joshua Madera</c:v>
                </c:pt>
                <c:pt idx="7">
                  <c:v>Franz Kafka</c:v>
                </c:pt>
                <c:pt idx="8">
                  <c:v>Andy Weir</c:v>
                </c:pt>
                <c:pt idx="9">
                  <c:v>Haruki Murakami</c:v>
                </c:pt>
              </c:strCache>
            </c:strRef>
          </c:cat>
          <c:val>
            <c:numRef>
              <c:f>Tables!$G$26:$G$35</c:f>
              <c:numCache>
                <c:formatCode>0.00</c:formatCode>
                <c:ptCount val="10"/>
                <c:pt idx="0">
                  <c:v>62.7</c:v>
                </c:pt>
                <c:pt idx="1">
                  <c:v>64.300000000000011</c:v>
                </c:pt>
                <c:pt idx="2">
                  <c:v>64.400000000000006</c:v>
                </c:pt>
                <c:pt idx="3">
                  <c:v>65.3</c:v>
                </c:pt>
                <c:pt idx="4">
                  <c:v>65.600000000000009</c:v>
                </c:pt>
                <c:pt idx="5">
                  <c:v>66.400000000000006</c:v>
                </c:pt>
                <c:pt idx="6">
                  <c:v>67.400000000000006</c:v>
                </c:pt>
                <c:pt idx="7">
                  <c:v>67.7</c:v>
                </c:pt>
                <c:pt idx="8">
                  <c:v>68.399999999999991</c:v>
                </c:pt>
                <c:pt idx="9">
                  <c:v>72.099999999999994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86-4538-B7E9-EB07EBF71C1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012596176"/>
        <c:axId val="1012589104"/>
      </c:barChart>
      <c:catAx>
        <c:axId val="10125961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589104"/>
        <c:crosses val="autoZero"/>
        <c:auto val="1"/>
        <c:lblAlgn val="ctr"/>
        <c:lblOffset val="100"/>
        <c:noMultiLvlLbl val="0"/>
      </c:catAx>
      <c:valAx>
        <c:axId val="101258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59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accent4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[Performance Evaluation.xlsm]Tables!PivotTable3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Top 10 Employees by Total Combined 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2">
              <a:lumMod val="5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Tables!$K$25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Tables!$J$26:$J$35</c:f>
              <c:strCache>
                <c:ptCount val="10"/>
                <c:pt idx="0">
                  <c:v>Mao Zedong</c:v>
                </c:pt>
                <c:pt idx="1">
                  <c:v>Kurt Emba</c:v>
                </c:pt>
                <c:pt idx="2">
                  <c:v>Ezekiel Baraero</c:v>
                </c:pt>
                <c:pt idx="3">
                  <c:v>Joseph Stalin</c:v>
                </c:pt>
                <c:pt idx="4">
                  <c:v>Joshua Madera</c:v>
                </c:pt>
                <c:pt idx="5">
                  <c:v>Ted Bundy</c:v>
                </c:pt>
                <c:pt idx="6">
                  <c:v>Nelson Mandela</c:v>
                </c:pt>
                <c:pt idx="7">
                  <c:v>Franz Kafka</c:v>
                </c:pt>
                <c:pt idx="8">
                  <c:v>Andy Weir</c:v>
                </c:pt>
                <c:pt idx="9">
                  <c:v>Haruki Murakami</c:v>
                </c:pt>
              </c:strCache>
            </c:strRef>
          </c:cat>
          <c:val>
            <c:numRef>
              <c:f>Tables!$K$26:$K$35</c:f>
              <c:numCache>
                <c:formatCode>0</c:formatCode>
                <c:ptCount val="10"/>
                <c:pt idx="0">
                  <c:v>250</c:v>
                </c:pt>
                <c:pt idx="1">
                  <c:v>251</c:v>
                </c:pt>
                <c:pt idx="2">
                  <c:v>252</c:v>
                </c:pt>
                <c:pt idx="3">
                  <c:v>256</c:v>
                </c:pt>
                <c:pt idx="4">
                  <c:v>257</c:v>
                </c:pt>
                <c:pt idx="5">
                  <c:v>263</c:v>
                </c:pt>
                <c:pt idx="6">
                  <c:v>263</c:v>
                </c:pt>
                <c:pt idx="7">
                  <c:v>265</c:v>
                </c:pt>
                <c:pt idx="8">
                  <c:v>271</c:v>
                </c:pt>
                <c:pt idx="9">
                  <c:v>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7F-4064-B793-1894F27EE53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012596176"/>
        <c:axId val="1012589104"/>
      </c:barChart>
      <c:catAx>
        <c:axId val="10125961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589104"/>
        <c:crosses val="autoZero"/>
        <c:auto val="1"/>
        <c:lblAlgn val="ctr"/>
        <c:lblOffset val="100"/>
        <c:noMultiLvlLbl val="0"/>
      </c:catAx>
      <c:valAx>
        <c:axId val="101258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59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[Performance Evaluation.xlsm]Tables!PivotTable4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Top 10 Employees by Average 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662513819319457"/>
          <c:y val="7.3488330151209882E-2"/>
          <c:w val="0.72433332401878081"/>
          <c:h val="0.8805477454247159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Tables!$O$25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Tables!$N$26:$N$35</c:f>
              <c:strCache>
                <c:ptCount val="10"/>
                <c:pt idx="0">
                  <c:v>Mao Zedong</c:v>
                </c:pt>
                <c:pt idx="1">
                  <c:v>Kurt Emba</c:v>
                </c:pt>
                <c:pt idx="2">
                  <c:v>Ezekiel Baraero</c:v>
                </c:pt>
                <c:pt idx="3">
                  <c:v>Joseph Stalin</c:v>
                </c:pt>
                <c:pt idx="4">
                  <c:v>Joshua Madera</c:v>
                </c:pt>
                <c:pt idx="5">
                  <c:v>Ted Bundy</c:v>
                </c:pt>
                <c:pt idx="6">
                  <c:v>Nelson Mandela</c:v>
                </c:pt>
                <c:pt idx="7">
                  <c:v>Franz Kafka</c:v>
                </c:pt>
                <c:pt idx="8">
                  <c:v>Andy Weir</c:v>
                </c:pt>
                <c:pt idx="9">
                  <c:v>Haruki Murakami</c:v>
                </c:pt>
              </c:strCache>
            </c:strRef>
          </c:cat>
          <c:val>
            <c:numRef>
              <c:f>Tables!$O$26:$O$35</c:f>
              <c:numCache>
                <c:formatCode>0.00</c:formatCode>
                <c:ptCount val="10"/>
                <c:pt idx="0">
                  <c:v>12.5</c:v>
                </c:pt>
                <c:pt idx="1">
                  <c:v>12.55</c:v>
                </c:pt>
                <c:pt idx="2">
                  <c:v>12.600000000000001</c:v>
                </c:pt>
                <c:pt idx="3">
                  <c:v>12.8</c:v>
                </c:pt>
                <c:pt idx="4">
                  <c:v>12.85</c:v>
                </c:pt>
                <c:pt idx="5">
                  <c:v>13.15</c:v>
                </c:pt>
                <c:pt idx="6">
                  <c:v>13.15</c:v>
                </c:pt>
                <c:pt idx="7">
                  <c:v>13.25</c:v>
                </c:pt>
                <c:pt idx="8">
                  <c:v>13.55</c:v>
                </c:pt>
                <c:pt idx="9">
                  <c:v>13.799999999999999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DF-4C88-B344-FAEB3CA662A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208871344"/>
        <c:axId val="1208869680"/>
      </c:barChart>
      <c:catAx>
        <c:axId val="12088713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8869680"/>
        <c:crosses val="autoZero"/>
        <c:auto val="1"/>
        <c:lblAlgn val="ctr"/>
        <c:lblOffset val="100"/>
        <c:noMultiLvlLbl val="0"/>
      </c:catAx>
      <c:valAx>
        <c:axId val="1208869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887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1257300</xdr:colOff>
          <xdr:row>6</xdr:row>
          <xdr:rowOff>142875</xdr:rowOff>
        </xdr:from>
        <xdr:to>
          <xdr:col>8</xdr:col>
          <xdr:colOff>2181225</xdr:colOff>
          <xdr:row>6</xdr:row>
          <xdr:rowOff>428625</xdr:rowOff>
        </xdr:to>
        <xdr:sp macro="" textlink="">
          <xdr:nvSpPr>
            <xdr:cNvPr id="3073" name="btngenerat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299362</xdr:colOff>
      <xdr:row>44</xdr:row>
      <xdr:rowOff>629048</xdr:rowOff>
    </xdr:from>
    <xdr:to>
      <xdr:col>2</xdr:col>
      <xdr:colOff>1728111</xdr:colOff>
      <xdr:row>44</xdr:row>
      <xdr:rowOff>4245427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107656</xdr:colOff>
      <xdr:row>43</xdr:row>
      <xdr:rowOff>67233</xdr:rowOff>
    </xdr:from>
    <xdr:to>
      <xdr:col>9</xdr:col>
      <xdr:colOff>1741714</xdr:colOff>
      <xdr:row>44</xdr:row>
      <xdr:rowOff>4259034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7878585" y="12232019"/>
          <a:ext cx="1634058" cy="7144551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ln>
                <a:noFill/>
              </a:ln>
              <a:solidFill>
                <a:schemeClr val="tx1"/>
              </a:solidFill>
            </a:rPr>
            <a:t>Weighted</a:t>
          </a:r>
          <a:r>
            <a:rPr lang="en-US" sz="1400" baseline="0">
              <a:ln>
                <a:noFill/>
              </a:ln>
              <a:solidFill>
                <a:schemeClr val="tx1"/>
              </a:solidFill>
            </a:rPr>
            <a:t> Percentage per Evaluator:</a:t>
          </a:r>
        </a:p>
        <a:p>
          <a:pPr algn="ctr"/>
          <a:endParaRPr lang="en-US" sz="1400" baseline="0">
            <a:ln>
              <a:noFill/>
            </a:ln>
            <a:solidFill>
              <a:schemeClr val="tx1"/>
            </a:solidFill>
          </a:endParaRPr>
        </a:p>
        <a:p>
          <a:pPr algn="ctr"/>
          <a:r>
            <a:rPr lang="en-US" sz="1400" baseline="0">
              <a:ln>
                <a:noFill/>
              </a:ln>
              <a:solidFill>
                <a:schemeClr val="tx1"/>
              </a:solidFill>
            </a:rPr>
            <a:t>Superior: 40%</a:t>
          </a:r>
        </a:p>
        <a:p>
          <a:pPr algn="ctr"/>
          <a:r>
            <a:rPr lang="en-US" sz="1400" baseline="0">
              <a:ln>
                <a:noFill/>
              </a:ln>
              <a:solidFill>
                <a:schemeClr val="tx1"/>
              </a:solidFill>
            </a:rPr>
            <a:t>Colleague: 30%</a:t>
          </a:r>
        </a:p>
        <a:p>
          <a:pPr algn="ctr"/>
          <a:r>
            <a:rPr lang="en-US" sz="1400">
              <a:ln>
                <a:noFill/>
              </a:ln>
              <a:solidFill>
                <a:schemeClr val="tx1"/>
              </a:solidFill>
            </a:rPr>
            <a:t>Subordinate: 20%</a:t>
          </a:r>
        </a:p>
        <a:p>
          <a:pPr algn="ctr"/>
          <a:r>
            <a:rPr lang="en-US" sz="1400">
              <a:ln>
                <a:noFill/>
              </a:ln>
              <a:solidFill>
                <a:schemeClr val="tx1"/>
              </a:solidFill>
            </a:rPr>
            <a:t>Self-Assessment:</a:t>
          </a:r>
          <a:r>
            <a:rPr lang="en-US" sz="1400" baseline="0">
              <a:ln>
                <a:noFill/>
              </a:ln>
              <a:solidFill>
                <a:schemeClr val="tx1"/>
              </a:solidFill>
            </a:rPr>
            <a:t> 10%</a:t>
          </a:r>
          <a:endParaRPr lang="en-US" sz="1400">
            <a:ln>
              <a:noFill/>
            </a:ln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127909</xdr:colOff>
      <xdr:row>43</xdr:row>
      <xdr:rowOff>95250</xdr:rowOff>
    </xdr:from>
    <xdr:to>
      <xdr:col>7</xdr:col>
      <xdr:colOff>911678</xdr:colOff>
      <xdr:row>44</xdr:row>
      <xdr:rowOff>4218214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312969</xdr:colOff>
      <xdr:row>43</xdr:row>
      <xdr:rowOff>77145</xdr:rowOff>
    </xdr:from>
    <xdr:to>
      <xdr:col>5</xdr:col>
      <xdr:colOff>1959429</xdr:colOff>
      <xdr:row>44</xdr:row>
      <xdr:rowOff>544284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1809752</xdr:colOff>
      <xdr:row>44</xdr:row>
      <xdr:rowOff>620643</xdr:rowOff>
    </xdr:from>
    <xdr:to>
      <xdr:col>5</xdr:col>
      <xdr:colOff>1973036</xdr:colOff>
      <xdr:row>44</xdr:row>
      <xdr:rowOff>4231821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1409700</xdr:colOff>
          <xdr:row>50</xdr:row>
          <xdr:rowOff>109817</xdr:rowOff>
        </xdr:from>
        <xdr:to>
          <xdr:col>1</xdr:col>
          <xdr:colOff>1209675</xdr:colOff>
          <xdr:row>53</xdr:row>
          <xdr:rowOff>28575</xdr:rowOff>
        </xdr:to>
        <xdr:sp macro="" textlink="">
          <xdr:nvSpPr>
            <xdr:cNvPr id="3075" name="btnsav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1420906</xdr:colOff>
          <xdr:row>54</xdr:row>
          <xdr:rowOff>123265</xdr:rowOff>
        </xdr:from>
        <xdr:to>
          <xdr:col>1</xdr:col>
          <xdr:colOff>1220881</xdr:colOff>
          <xdr:row>57</xdr:row>
          <xdr:rowOff>48746</xdr:rowOff>
        </xdr:to>
        <xdr:sp macro="" textlink="">
          <xdr:nvSpPr>
            <xdr:cNvPr id="3079" name="btnsumbit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7</xdr:col>
      <xdr:colOff>1061356</xdr:colOff>
      <xdr:row>43</xdr:row>
      <xdr:rowOff>95249</xdr:rowOff>
    </xdr:from>
    <xdr:to>
      <xdr:col>8</xdr:col>
      <xdr:colOff>2136321</xdr:colOff>
      <xdr:row>44</xdr:row>
      <xdr:rowOff>4231821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278888</xdr:colOff>
      <xdr:row>4</xdr:row>
      <xdr:rowOff>108136</xdr:rowOff>
    </xdr:from>
    <xdr:to>
      <xdr:col>9</xdr:col>
      <xdr:colOff>9525</xdr:colOff>
      <xdr:row>30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109458</xdr:colOff>
      <xdr:row>4</xdr:row>
      <xdr:rowOff>108797</xdr:rowOff>
    </xdr:from>
    <xdr:to>
      <xdr:col>28</xdr:col>
      <xdr:colOff>67235</xdr:colOff>
      <xdr:row>30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258241</xdr:colOff>
      <xdr:row>31</xdr:row>
      <xdr:rowOff>12660</xdr:rowOff>
    </xdr:from>
    <xdr:to>
      <xdr:col>13</xdr:col>
      <xdr:colOff>134471</xdr:colOff>
      <xdr:row>64</xdr:row>
      <xdr:rowOff>121358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238125</xdr:colOff>
      <xdr:row>31</xdr:row>
      <xdr:rowOff>15410</xdr:rowOff>
    </xdr:from>
    <xdr:to>
      <xdr:col>28</xdr:col>
      <xdr:colOff>95250</xdr:colOff>
      <xdr:row>64</xdr:row>
      <xdr:rowOff>113462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238125</xdr:colOff>
      <xdr:row>65</xdr:row>
      <xdr:rowOff>53139</xdr:rowOff>
    </xdr:from>
    <xdr:to>
      <xdr:col>28</xdr:col>
      <xdr:colOff>78442</xdr:colOff>
      <xdr:row>99</xdr:row>
      <xdr:rowOff>22942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256053</xdr:colOff>
      <xdr:row>65</xdr:row>
      <xdr:rowOff>47629</xdr:rowOff>
    </xdr:from>
    <xdr:to>
      <xdr:col>13</xdr:col>
      <xdr:colOff>119062</xdr:colOff>
      <xdr:row>99</xdr:row>
      <xdr:rowOff>63148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190501</xdr:colOff>
      <xdr:row>0</xdr:row>
      <xdr:rowOff>190500</xdr:rowOff>
    </xdr:from>
    <xdr:to>
      <xdr:col>6</xdr:col>
      <xdr:colOff>163286</xdr:colOff>
      <xdr:row>2</xdr:row>
      <xdr:rowOff>13607</xdr:rowOff>
    </xdr:to>
    <xdr:sp macro="[0]!Refresh3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3891644" y="190500"/>
          <a:ext cx="1197428" cy="421821"/>
        </a:xfrm>
        <a:prstGeom prst="roundRect">
          <a:avLst/>
        </a:prstGeom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Avenir Next LT Pro Light" panose="020B0304020202020204" pitchFamily="34" charset="0"/>
            </a:rPr>
            <a:t>Refresh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pher Atun" refreshedDate="45472.613104629629" createdVersion="8" refreshedVersion="8" minRefreshableVersion="3" recordCount="138" xr:uid="{BC7A98E5-2446-4E4B-8627-5BAFCAF701F2}">
  <cacheSource type="worksheet">
    <worksheetSource name="Table4"/>
  </cacheSource>
  <cacheFields count="11">
    <cacheField name="Employee ID" numFmtId="0">
      <sharedItems containsString="0" containsBlank="1" containsNumber="1" containsInteger="1" minValue="100001" maxValue="100031"/>
    </cacheField>
    <cacheField name="Employee Name" numFmtId="0">
      <sharedItems containsBlank="1" count="32">
        <s v="Frank Herbert"/>
        <s v="Brandon Sanderson"/>
        <s v="Haruki Murakami"/>
        <s v="Andy Weir"/>
        <s v="Franz Kafka"/>
        <s v="Ted Bundy"/>
        <s v="Rene Descartes"/>
        <s v="Immanuel Kant"/>
        <s v="Friedrich Nietzsche"/>
        <s v="Nelson Mandela"/>
        <s v="Angela Davis"/>
        <s v="Vladimir Putin"/>
        <s v="Agatha Christie"/>
        <s v="Joseph Stalin"/>
        <s v="Mao Zedong"/>
        <s v="Karl Marx"/>
        <s v="John Smith"/>
        <s v="Rea Edulan"/>
        <s v="Evelyn Talisic"/>
        <s v="Aicah Sabangan"/>
        <s v="Joshua Madera"/>
        <s v="Hannah Jannelle Pangantihon"/>
        <s v="Reynalyn Briones"/>
        <s v="Shanty Demition"/>
        <s v="Ezekiel Baraero"/>
        <s v="Jasher Palangue"/>
        <s v="Alexa Abanto"/>
        <s v="Jaspher Atun"/>
        <s v="Charles Patrick Yanga"/>
        <s v="JB Gundan"/>
        <s v="Kurt Emba"/>
        <m/>
      </sharedItems>
    </cacheField>
    <cacheField name="Position/Title" numFmtId="0">
      <sharedItems containsBlank="1"/>
    </cacheField>
    <cacheField name="Department" numFmtId="0">
      <sharedItems containsBlank="1" count="9">
        <s v="Human_Resource"/>
        <s v="IT"/>
        <s v="Operations"/>
        <s v="Customer_Service"/>
        <s v="Finance"/>
        <s v="Sales"/>
        <s v="Administration"/>
        <s v="Marketing"/>
        <m/>
      </sharedItems>
    </cacheField>
    <cacheField name="Date of Hire" numFmtId="0">
      <sharedItems containsNonDate="0" containsDate="1" containsString="0" containsBlank="1" minDate="1983-01-23T00:00:00" maxDate="2022-09-02T00:00:00"/>
    </cacheField>
    <cacheField name="Superior Evaluator" numFmtId="0">
      <sharedItems containsBlank="1"/>
    </cacheField>
    <cacheField name="Date of Evaluation" numFmtId="0">
      <sharedItems containsNonDate="0" containsDate="1" containsString="0" containsBlank="1" minDate="2023-06-07T00:00:00" maxDate="2023-12-13T00:00:00"/>
    </cacheField>
    <cacheField name="Total Combined Score" numFmtId="0">
      <sharedItems containsString="0" containsBlank="1" containsNumber="1" containsInteger="1" minValue="223" maxValue="276"/>
    </cacheField>
    <cacheField name="Average Score" numFmtId="0">
      <sharedItems containsString="0" containsBlank="1" containsNumber="1" minValue="11.149999999999999" maxValue="13.799999999999999"/>
    </cacheField>
    <cacheField name="Weighted Score" numFmtId="0">
      <sharedItems containsString="0" containsBlank="1" containsNumber="1" minValue="53.6" maxValue="72.099999999999994"/>
    </cacheField>
    <cacheField name="Weighted Average Score" numFmtId="2">
      <sharedItems containsString="0" containsBlank="1" containsNumber="1" minValue="2.68" maxValue="3.6050000000000009"/>
    </cacheField>
  </cacheFields>
  <extLst>
    <ext xmlns:x14="http://schemas.microsoft.com/office/spreadsheetml/2009/9/main" uri="{725AE2AE-9491-48be-B2B4-4EB974FC3084}">
      <x14:pivotCacheDefinition pivotCacheId="4276745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8">
  <r>
    <n v="100031"/>
    <x v="0"/>
    <s v="HR Coordinator"/>
    <x v="0"/>
    <d v="2022-09-01T00:00:00"/>
    <s v="Evaluator 1"/>
    <d v="2023-06-15T00:00:00"/>
    <n v="236"/>
    <n v="11.8"/>
    <n v="58.300000000000004"/>
    <n v="2.9150000000000005"/>
  </r>
  <r>
    <n v="100030"/>
    <x v="1"/>
    <s v="Network Admin"/>
    <x v="1"/>
    <d v="1999-06-14T00:00:00"/>
    <s v="Evaluator 1"/>
    <d v="2023-06-15T00:00:00"/>
    <n v="244"/>
    <n v="12.200000000000001"/>
    <n v="61.8"/>
    <n v="3.0900000000000003"/>
  </r>
  <r>
    <n v="100029"/>
    <x v="2"/>
    <s v="Logistics Coordinator"/>
    <x v="2"/>
    <d v="1999-04-12T00:00:00"/>
    <s v="Evaluator 1"/>
    <d v="2023-06-15T00:00:00"/>
    <n v="276"/>
    <n v="13.799999999999999"/>
    <n v="72.099999999999994"/>
    <n v="3.6050000000000009"/>
  </r>
  <r>
    <n v="100028"/>
    <x v="3"/>
    <s v="Tech Support Specialist"/>
    <x v="3"/>
    <d v="1999-03-30T00:00:00"/>
    <s v="Evaluator 1"/>
    <d v="2023-06-15T00:00:00"/>
    <n v="271"/>
    <n v="13.55"/>
    <n v="68.399999999999991"/>
    <n v="3.42"/>
  </r>
  <r>
    <n v="100027"/>
    <x v="4"/>
    <s v="Chief Financial Officer"/>
    <x v="4"/>
    <d v="1998-03-18T00:00:00"/>
    <s v="Evaluator 1"/>
    <d v="2023-06-15T00:00:00"/>
    <n v="265"/>
    <n v="13.25"/>
    <n v="67.7"/>
    <n v="3.3850000000000002"/>
  </r>
  <r>
    <n v="100026"/>
    <x v="5"/>
    <s v="Account Manager"/>
    <x v="5"/>
    <d v="1998-02-12T00:00:00"/>
    <s v="Evaluator 1"/>
    <d v="2023-06-15T00:00:00"/>
    <n v="263"/>
    <n v="13.15"/>
    <n v="65.3"/>
    <n v="3.26"/>
  </r>
  <r>
    <n v="100025"/>
    <x v="6"/>
    <s v="Account Manager"/>
    <x v="5"/>
    <d v="1998-02-12T00:00:00"/>
    <s v="Evaluator 1"/>
    <d v="2023-06-15T00:00:00"/>
    <n v="245"/>
    <n v="12.25"/>
    <n v="62.2"/>
    <n v="3.11"/>
  </r>
  <r>
    <n v="100024"/>
    <x v="7"/>
    <s v="Web Developer"/>
    <x v="1"/>
    <d v="1998-01-26T00:00:00"/>
    <s v="Evaluator 1"/>
    <d v="2023-06-15T00:00:00"/>
    <n v="243"/>
    <n v="12.15"/>
    <n v="59.800000000000004"/>
    <n v="2.9899999999999998"/>
  </r>
  <r>
    <n v="100023"/>
    <x v="8"/>
    <s v="Project Manager"/>
    <x v="2"/>
    <d v="1998-01-22T00:00:00"/>
    <s v="Evaluator 1"/>
    <d v="2023-06-15T00:00:00"/>
    <n v="247"/>
    <n v="12.349999999999998"/>
    <n v="60.4"/>
    <n v="3.02"/>
  </r>
  <r>
    <n v="100022"/>
    <x v="9"/>
    <s v="Payroll Specialist"/>
    <x v="4"/>
    <d v="1998-01-21T00:00:00"/>
    <s v="Evaluator 1"/>
    <d v="2023-06-15T00:00:00"/>
    <n v="263"/>
    <n v="13.15"/>
    <n v="65.600000000000009"/>
    <n v="3.2800000000000002"/>
  </r>
  <r>
    <n v="100021"/>
    <x v="10"/>
    <s v="HR Coordinator"/>
    <x v="0"/>
    <d v="2019-02-03T00:00:00"/>
    <s v="Evaluator 1"/>
    <d v="2023-06-15T00:00:00"/>
    <n v="228"/>
    <n v="11.4"/>
    <n v="55.7"/>
    <n v="2.7850000000000001"/>
  </r>
  <r>
    <n v="100020"/>
    <x v="11"/>
    <s v="Accountant"/>
    <x v="4"/>
    <d v="2002-09-11T00:00:00"/>
    <s v="Evaluator 1"/>
    <d v="2023-11-06T00:00:00"/>
    <n v="237"/>
    <n v="11.85"/>
    <n v="59.70000000000001"/>
    <n v="2.9850000000000003"/>
  </r>
  <r>
    <n v="100019"/>
    <x v="12"/>
    <s v="CS Manager"/>
    <x v="3"/>
    <d v="1983-01-23T00:00:00"/>
    <s v="Evaluator 1"/>
    <d v="2023-08-06T00:00:00"/>
    <n v="232"/>
    <n v="11.6"/>
    <n v="55.600000000000009"/>
    <n v="2.7800000000000002"/>
  </r>
  <r>
    <n v="100018"/>
    <x v="13"/>
    <s v="Quality Specialist"/>
    <x v="2"/>
    <d v="2009-07-02T00:00:00"/>
    <s v="Evaluator 1"/>
    <d v="2023-08-06T00:00:00"/>
    <n v="256"/>
    <n v="12.8"/>
    <n v="66.400000000000006"/>
    <n v="3.3200000000000003"/>
  </r>
  <r>
    <n v="100017"/>
    <x v="14"/>
    <s v="Office Manager"/>
    <x v="6"/>
    <d v="2010-08-23T00:00:00"/>
    <s v="Evaluator 1"/>
    <d v="2023-07-06T00:00:00"/>
    <n v="250"/>
    <n v="12.5"/>
    <n v="64.300000000000011"/>
    <n v="3.2150000000000003"/>
  </r>
  <r>
    <n v="100016"/>
    <x v="15"/>
    <s v="Graphic Designer"/>
    <x v="7"/>
    <d v="2021-07-01T00:00:00"/>
    <s v="Evaluator 1"/>
    <d v="2023-07-06T00:00:00"/>
    <n v="239"/>
    <n v="11.950000000000001"/>
    <n v="59.599999999999994"/>
    <n v="2.98"/>
  </r>
  <r>
    <n v="100015"/>
    <x v="16"/>
    <s v="Chief Financial Officer"/>
    <x v="4"/>
    <d v="2011-02-22T00:00:00"/>
    <s v="Evaluator 1"/>
    <d v="2023-07-06T00:00:00"/>
    <n v="249"/>
    <n v="12.45"/>
    <n v="61.900000000000006"/>
    <n v="3.0950000000000002"/>
  </r>
  <r>
    <n v="100014"/>
    <x v="17"/>
    <s v="Administrative Assistant"/>
    <x v="6"/>
    <d v="2014-01-30T00:00:00"/>
    <s v="Evaluator 1"/>
    <d v="2023-07-05T00:00:00"/>
    <n v="244"/>
    <n v="12.2"/>
    <n v="59.900000000000006"/>
    <n v="2.9950000000000006"/>
  </r>
  <r>
    <n v="100013"/>
    <x v="18"/>
    <s v="Administrative Assistant"/>
    <x v="6"/>
    <d v="2014-01-30T00:00:00"/>
    <s v="Evaluator 1"/>
    <d v="2023-07-05T00:00:00"/>
    <n v="223"/>
    <n v="11.149999999999999"/>
    <n v="54.399999999999991"/>
    <n v="2.7199999999999998"/>
  </r>
  <r>
    <n v="100012"/>
    <x v="19"/>
    <s v="Graphic Designer"/>
    <x v="7"/>
    <d v="2014-05-31T00:00:00"/>
    <s v="Evaluator 1"/>
    <d v="2023-07-04T00:00:00"/>
    <n v="229"/>
    <n v="11.45"/>
    <n v="53.6"/>
    <n v="2.68"/>
  </r>
  <r>
    <n v="100011"/>
    <x v="20"/>
    <s v="Training Specialist"/>
    <x v="0"/>
    <d v="2014-05-19T00:00:00"/>
    <s v="Evaluator 1"/>
    <d v="2023-07-02T00:00:00"/>
    <n v="257"/>
    <n v="12.85"/>
    <n v="67.400000000000006"/>
    <n v="3.37"/>
  </r>
  <r>
    <n v="100010"/>
    <x v="21"/>
    <s v="Sales Coordinator"/>
    <x v="5"/>
    <d v="2011-10-19T00:00:00"/>
    <s v="Evaluator 1"/>
    <d v="2023-07-01T00:00:00"/>
    <n v="238"/>
    <n v="11.9"/>
    <n v="59.2"/>
    <n v="2.9600000000000004"/>
  </r>
  <r>
    <n v="100009"/>
    <x v="22"/>
    <s v="Sales Representative"/>
    <x v="5"/>
    <d v="2012-01-22T00:00:00"/>
    <s v="Evaluator 1"/>
    <d v="2023-12-07T00:00:00"/>
    <n v="236"/>
    <n v="11.8"/>
    <n v="59.500000000000007"/>
    <n v="2.9750000000000001"/>
  </r>
  <r>
    <n v="100008"/>
    <x v="23"/>
    <s v="Receptionist"/>
    <x v="6"/>
    <d v="2013-05-19T00:00:00"/>
    <s v="Evaluator 1"/>
    <d v="2023-11-07T00:00:00"/>
    <n v="249"/>
    <n v="12.450000000000001"/>
    <n v="62.7"/>
    <n v="3.1349999999999998"/>
  </r>
  <r>
    <n v="100007"/>
    <x v="24"/>
    <s v="IT Director"/>
    <x v="1"/>
    <d v="2019-11-23T00:00:00"/>
    <s v="Evaluator 1"/>
    <d v="2023-10-07T00:00:00"/>
    <n v="252"/>
    <n v="12.600000000000001"/>
    <n v="61.9"/>
    <n v="3.0950000000000002"/>
  </r>
  <r>
    <n v="100006"/>
    <x v="25"/>
    <s v="Software Engineer"/>
    <x v="1"/>
    <d v="2016-12-05T00:00:00"/>
    <s v="Evaluator 1"/>
    <d v="2023-09-07T00:00:00"/>
    <n v="247"/>
    <n v="12.35"/>
    <n v="59.8"/>
    <n v="2.9899999999999998"/>
  </r>
  <r>
    <n v="100005"/>
    <x v="26"/>
    <s v="HR Manager"/>
    <x v="0"/>
    <d v="2016-03-21T00:00:00"/>
    <s v="Evaluator 1"/>
    <d v="2023-08-07T00:00:00"/>
    <n v="249"/>
    <n v="12.45"/>
    <n v="64.400000000000006"/>
    <n v="3.22"/>
  </r>
  <r>
    <n v="100004"/>
    <x v="27"/>
    <s v="Tech Support Specialist"/>
    <x v="3"/>
    <d v="2017-02-23T00:00:00"/>
    <s v="Evaluator 1"/>
    <d v="2023-07-07T00:00:00"/>
    <n v="236"/>
    <n v="11.8"/>
    <n v="61.1"/>
    <n v="3.0549999999999997"/>
  </r>
  <r>
    <n v="100003"/>
    <x v="28"/>
    <s v="Accountant"/>
    <x v="4"/>
    <d v="2018-03-22T00:00:00"/>
    <s v="Evaluator 1"/>
    <d v="2023-06-07T00:00:00"/>
    <n v="236"/>
    <n v="11.8"/>
    <n v="58.3"/>
    <n v="2.9150000000000005"/>
  </r>
  <r>
    <n v="100002"/>
    <x v="29"/>
    <s v="Logistics Coordinator"/>
    <x v="2"/>
    <d v="2022-08-09T00:00:00"/>
    <s v="Evaluator 1"/>
    <d v="2023-07-23T00:00:00"/>
    <n v="243"/>
    <n v="12.149999999999999"/>
    <n v="60.6"/>
    <n v="3.0300000000000002"/>
  </r>
  <r>
    <n v="100001"/>
    <x v="30"/>
    <s v="Marketing Manager"/>
    <x v="7"/>
    <d v="2021-08-09T00:00:00"/>
    <s v="Evaluator 1"/>
    <d v="2023-12-12T00:00:00"/>
    <n v="251"/>
    <n v="12.55"/>
    <n v="61.300000000000004"/>
    <n v="3.0649999999999999"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  <r>
    <m/>
    <x v="31"/>
    <m/>
    <x v="8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FD2178-AA48-428D-8BFF-C937CA381E25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7">
  <location ref="J25:K35" firstHeaderRow="1" firstDataRow="1" firstDataCol="1"/>
  <pivotFields count="11">
    <pivotField showAll="0"/>
    <pivotField axis="axisRow" showAll="0" measureFilter="1" sortType="ascending">
      <items count="33">
        <item x="19"/>
        <item x="26"/>
        <item x="28"/>
        <item x="18"/>
        <item x="24"/>
        <item x="21"/>
        <item x="25"/>
        <item x="27"/>
        <item x="29"/>
        <item x="20"/>
        <item x="30"/>
        <item x="22"/>
        <item x="23"/>
        <item x="31"/>
        <item x="17"/>
        <item x="16"/>
        <item x="15"/>
        <item x="13"/>
        <item x="14"/>
        <item x="11"/>
        <item x="12"/>
        <item x="10"/>
        <item x="5"/>
        <item x="6"/>
        <item x="7"/>
        <item x="8"/>
        <item x="9"/>
        <item x="3"/>
        <item x="4"/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1"/>
  </rowFields>
  <rowItems count="10">
    <i>
      <x v="18"/>
    </i>
    <i>
      <x v="10"/>
    </i>
    <i>
      <x v="4"/>
    </i>
    <i>
      <x v="17"/>
    </i>
    <i>
      <x v="9"/>
    </i>
    <i>
      <x v="22"/>
    </i>
    <i>
      <x v="26"/>
    </i>
    <i>
      <x v="28"/>
    </i>
    <i>
      <x v="27"/>
    </i>
    <i>
      <x v="29"/>
    </i>
  </rowItems>
  <colItems count="1">
    <i/>
  </colItems>
  <dataFields count="1">
    <dataField name="Sum of Total Combined Score" fld="7" baseField="0" baseItem="0" numFmtId="1"/>
  </dataFields>
  <formats count="5">
    <format dxfId="5">
      <pivotArea type="all" dataOnly="0" outline="0" fieldPosition="0"/>
    </format>
    <format dxfId="4">
      <pivotArea outline="0" collapsedLevelsAreSubtotals="1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12">
            <x v="1"/>
            <x v="2"/>
            <x v="4"/>
            <x v="5"/>
            <x v="6"/>
            <x v="7"/>
            <x v="8"/>
            <x v="9"/>
            <x v="10"/>
            <x v="11"/>
            <x v="12"/>
            <x v="14"/>
          </reference>
        </references>
      </pivotArea>
    </format>
    <format dxfId="1">
      <pivotArea dataOnly="0" labelOnly="1" outline="0" axis="axisValues" fieldPosition="0"/>
    </format>
  </formats>
  <chartFormats count="1"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8FC537-A492-4A6F-BE91-D353499D590D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12">
  <location ref="F25:G35" firstHeaderRow="1" firstDataRow="1" firstDataCol="1"/>
  <pivotFields count="11">
    <pivotField showAll="0"/>
    <pivotField axis="axisRow" showAll="0" measureFilter="1" sortType="ascending">
      <items count="33">
        <item x="19"/>
        <item x="26"/>
        <item x="28"/>
        <item x="18"/>
        <item x="24"/>
        <item x="21"/>
        <item x="25"/>
        <item x="27"/>
        <item x="29"/>
        <item x="20"/>
        <item x="30"/>
        <item x="22"/>
        <item x="23"/>
        <item x="31"/>
        <item x="17"/>
        <item x="16"/>
        <item x="15"/>
        <item x="13"/>
        <item x="14"/>
        <item x="11"/>
        <item x="12"/>
        <item x="10"/>
        <item x="5"/>
        <item x="6"/>
        <item x="7"/>
        <item x="8"/>
        <item x="9"/>
        <item x="3"/>
        <item x="4"/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1"/>
  </rowFields>
  <rowItems count="10">
    <i>
      <x v="12"/>
    </i>
    <i>
      <x v="18"/>
    </i>
    <i>
      <x v="1"/>
    </i>
    <i>
      <x v="22"/>
    </i>
    <i>
      <x v="26"/>
    </i>
    <i>
      <x v="17"/>
    </i>
    <i>
      <x v="9"/>
    </i>
    <i>
      <x v="28"/>
    </i>
    <i>
      <x v="27"/>
    </i>
    <i>
      <x v="29"/>
    </i>
  </rowItems>
  <colItems count="1">
    <i/>
  </colItems>
  <dataFields count="1">
    <dataField name="Sum of Weighted Score" fld="9" baseField="0" baseItem="0"/>
  </dataFields>
  <formats count="1">
    <format dxfId="6">
      <pivotArea outline="0" collapsedLevelsAreSubtotals="1" fieldPosition="0"/>
    </format>
  </formats>
  <chartFormats count="2">
    <chartFormat chart="1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9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BFA485-D198-4718-9A54-C0C0F0920103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19">
  <location ref="B40:C42" firstHeaderRow="1" firstDataRow="1" firstDataCol="1"/>
  <pivotFields count="11">
    <pivotField showAll="0"/>
    <pivotField axis="axisRow" showAll="0" measureFilter="1">
      <items count="33">
        <item x="19"/>
        <item x="26"/>
        <item x="28"/>
        <item x="18"/>
        <item x="24"/>
        <item x="21"/>
        <item x="25"/>
        <item x="27"/>
        <item x="29"/>
        <item x="20"/>
        <item x="30"/>
        <item x="22"/>
        <item x="23"/>
        <item x="31"/>
        <item x="17"/>
        <item x="16"/>
        <item x="15"/>
        <item x="13"/>
        <item x="14"/>
        <item x="11"/>
        <item x="12"/>
        <item x="10"/>
        <item x="5"/>
        <item x="6"/>
        <item x="7"/>
        <item x="8"/>
        <item x="9"/>
        <item x="3"/>
        <item x="4"/>
        <item x="2"/>
        <item x="0"/>
        <item x="1"/>
        <item t="default"/>
      </items>
    </pivotField>
    <pivotField showAll="0"/>
    <pivotField axis="axisRow" showAll="0">
      <items count="10">
        <item x="6"/>
        <item x="3"/>
        <item x="4"/>
        <item x="0"/>
        <item x="1"/>
        <item x="7"/>
        <item x="2"/>
        <item x="5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1"/>
    <field x="3"/>
  </rowFields>
  <rowItems count="2">
    <i>
      <x v="29"/>
    </i>
    <i r="1">
      <x v="6"/>
    </i>
  </rowItems>
  <colItems count="1">
    <i/>
  </colItems>
  <dataFields count="1">
    <dataField name="Sum of Weighted Average Score" fld="10" baseField="0" baseItem="0"/>
  </dataFields>
  <formats count="1"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ount" evalOrder="-1" id="12" iMeasureFld="0">
      <autoFilter ref="A1">
        <filterColumn colId="0">
          <top10 val="1" filterVal="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F9749E-7345-49FD-BD64-C09CD5255457}" name="PivotTable14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6">
  <location ref="B13:C21" firstHeaderRow="1" firstDataRow="1" firstDataCol="1"/>
  <pivotFields count="11">
    <pivotField showAll="0"/>
    <pivotField showAll="0"/>
    <pivotField showAll="0"/>
    <pivotField axis="axisRow" showAll="0" sortType="descending">
      <items count="10">
        <item x="6"/>
        <item x="3"/>
        <item x="4"/>
        <item x="0"/>
        <item x="1"/>
        <item x="7"/>
        <item x="2"/>
        <item x="5"/>
        <item h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8">
    <i>
      <x v="2"/>
    </i>
    <i>
      <x v="6"/>
    </i>
    <i>
      <x v="4"/>
    </i>
    <i>
      <x v="7"/>
    </i>
    <i>
      <x v="3"/>
    </i>
    <i>
      <x/>
    </i>
    <i>
      <x v="1"/>
    </i>
    <i>
      <x v="5"/>
    </i>
  </rowItems>
  <colItems count="1">
    <i/>
  </colItems>
  <dataFields count="1">
    <dataField name="Sum of Average Score" fld="8" baseField="0" baseItem="0"/>
  </dataFields>
  <chartFormats count="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081B5B-FECB-4076-8BF6-55CFC35CEFEB}" name="PivotTable37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19">
  <location ref="B25:C35" firstHeaderRow="1" firstDataRow="1" firstDataCol="1"/>
  <pivotFields count="11">
    <pivotField showAll="0"/>
    <pivotField axis="axisRow" showAll="0" measureFilter="1" sortType="ascending">
      <items count="33">
        <item x="19"/>
        <item x="26"/>
        <item x="28"/>
        <item x="18"/>
        <item x="24"/>
        <item x="21"/>
        <item x="25"/>
        <item x="27"/>
        <item x="29"/>
        <item x="20"/>
        <item x="30"/>
        <item x="22"/>
        <item x="23"/>
        <item x="31"/>
        <item x="17"/>
        <item x="16"/>
        <item x="15"/>
        <item x="13"/>
        <item x="14"/>
        <item x="11"/>
        <item x="12"/>
        <item x="10"/>
        <item x="5"/>
        <item x="6"/>
        <item x="7"/>
        <item x="8"/>
        <item x="9"/>
        <item x="3"/>
        <item x="4"/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0">
    <i>
      <x v="12"/>
    </i>
    <i>
      <x v="18"/>
    </i>
    <i>
      <x v="1"/>
    </i>
    <i>
      <x v="22"/>
    </i>
    <i>
      <x v="26"/>
    </i>
    <i>
      <x v="17"/>
    </i>
    <i>
      <x v="9"/>
    </i>
    <i>
      <x v="28"/>
    </i>
    <i>
      <x v="27"/>
    </i>
    <i>
      <x v="29"/>
    </i>
  </rowItems>
  <colItems count="1">
    <i/>
  </colItems>
  <dataFields count="1">
    <dataField name="Sum of Weighted Average Score" fld="10" baseField="0" baseItem="0"/>
  </dataFields>
  <formats count="1">
    <format dxfId="8">
      <pivotArea outline="0" collapsedLevelsAreSubtotals="1" fieldPosition="0"/>
    </format>
  </formats>
  <chartFormats count="3">
    <chartFormat chart="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0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4B9ABC-8B71-436D-A51D-9F073D3311A7}" name="PivotTable4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7">
  <location ref="N25:O35" firstHeaderRow="1" firstDataRow="1" firstDataCol="1"/>
  <pivotFields count="11">
    <pivotField showAll="0"/>
    <pivotField axis="axisRow" showAll="0" measureFilter="1" sortType="ascending">
      <items count="33">
        <item x="19"/>
        <item x="26"/>
        <item x="28"/>
        <item x="18"/>
        <item x="24"/>
        <item x="21"/>
        <item x="25"/>
        <item x="27"/>
        <item x="29"/>
        <item x="20"/>
        <item x="30"/>
        <item x="22"/>
        <item x="23"/>
        <item x="31"/>
        <item x="17"/>
        <item x="16"/>
        <item x="15"/>
        <item x="13"/>
        <item x="14"/>
        <item x="11"/>
        <item x="12"/>
        <item x="10"/>
        <item x="5"/>
        <item x="6"/>
        <item x="7"/>
        <item x="8"/>
        <item x="9"/>
        <item x="3"/>
        <item x="4"/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10">
    <i>
      <x v="18"/>
    </i>
    <i>
      <x v="10"/>
    </i>
    <i>
      <x v="4"/>
    </i>
    <i>
      <x v="17"/>
    </i>
    <i>
      <x v="9"/>
    </i>
    <i>
      <x v="22"/>
    </i>
    <i>
      <x v="26"/>
    </i>
    <i>
      <x v="28"/>
    </i>
    <i>
      <x v="27"/>
    </i>
    <i>
      <x v="29"/>
    </i>
  </rowItems>
  <colItems count="1">
    <i/>
  </colItems>
  <dataFields count="1">
    <dataField name="Sum of Average Score" fld="8" baseField="0" baseItem="0"/>
  </dataFields>
  <formats count="1">
    <format dxfId="9">
      <pivotArea outline="0" collapsedLevelsAreSubtotals="1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1CB8B5-C350-49C8-9AC6-C3E565CA75C5}" name="Table1" displayName="Table1" ref="C49:G53" totalsRowShown="0" headerRowDxfId="51" dataDxfId="50">
  <autoFilter ref="C49:G53" xr:uid="{301CB8B5-C350-49C8-9AC6-C3E565CA75C5}"/>
  <tableColumns count="5">
    <tableColumn id="1" xr3:uid="{D6D42A58-63BF-4214-B370-7A923DC5FEBD}" name="Evaluation Criteria" dataDxfId="49"/>
    <tableColumn id="3" xr3:uid="{39B278D4-2E39-4585-8284-2A5C70CDF13E}" name="Superior" dataDxfId="48"/>
    <tableColumn id="4" xr3:uid="{B7CFAC5A-92CA-4D01-AD0A-45359B2B4729}" name="Colleague" dataDxfId="47"/>
    <tableColumn id="5" xr3:uid="{9E45DE29-11F9-4BFA-A425-A46B4F5E1E6E}" name="Subordinate" dataDxfId="46"/>
    <tableColumn id="6" xr3:uid="{CAB7A519-A452-405D-8F33-85697A95F215}" name="Self" dataDxfId="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EBCC91-7F60-4DA1-9218-8F65914F5CD8}" name="Table3" displayName="Table3" ref="C55:D59" totalsRowShown="0" headerRowDxfId="44" dataDxfId="43">
  <autoFilter ref="C55:D59" xr:uid="{15EBCC91-7F60-4DA1-9218-8F65914F5CD8}"/>
  <tableColumns count="2">
    <tableColumn id="1" xr3:uid="{C920E440-65FB-42FD-AE68-A208080F5907}" name="Evaluator" dataDxfId="42"/>
    <tableColumn id="2" xr3:uid="{2428632D-529D-41A7-9C0E-C5883B985B84}" name="Score" dataDxfId="4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5F36DA-752A-4897-933D-55F5B90CDFA2}" name="Table5" displayName="Table5" ref="F55:G59" totalsRowShown="0" headerRowDxfId="40" dataDxfId="39">
  <autoFilter ref="F55:G59" xr:uid="{915F36DA-752A-4897-933D-55F5B90CDFA2}"/>
  <tableColumns count="2">
    <tableColumn id="1" xr3:uid="{3BCDC3B0-3037-4FF1-A722-83017C0A48E0}" name="Criteria" dataDxfId="38"/>
    <tableColumn id="2" xr3:uid="{A916CBD1-F979-49FF-B582-773333BBD862}" name="Total Score" dataDxfId="3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18690E0-2B57-4D53-9F42-A1A1D7F9DB77}" name="Table6" displayName="Table6" ref="E55:E56" totalsRowShown="0" headerRowDxfId="36" dataDxfId="35">
  <autoFilter ref="E55:E56" xr:uid="{718690E0-2B57-4D53-9F42-A1A1D7F9DB77}"/>
  <tableColumns count="1">
    <tableColumn id="1" xr3:uid="{A2732DDA-0FFF-4027-9CF3-216DD5BD45C4}" name="Total Combined Score" dataDxfId="34">
      <calculatedColumnFormula>H33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0CDCEE-4DB7-4D5E-9F75-B8D455109FBF}" name="Table2" displayName="Table2" ref="E57:E58" totalsRowShown="0" headerRowDxfId="33" dataDxfId="32">
  <autoFilter ref="E57:E58" xr:uid="{5D0CDCEE-4DB7-4D5E-9F75-B8D455109FBF}"/>
  <tableColumns count="1">
    <tableColumn id="1" xr3:uid="{74C70899-8882-480E-85C8-E5A7CA107FF3}" name="Average Score" dataDxfId="31">
      <calculatedColumnFormula>H34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33928D8-94FA-4E20-A794-0194B10F0727}" name="Table211" displayName="Table211" ref="E59:E60" totalsRowShown="0" headerRowDxfId="30" dataDxfId="29">
  <autoFilter ref="E59:E60" xr:uid="{233928D8-94FA-4E20-A794-0194B10F0727}"/>
  <tableColumns count="1">
    <tableColumn id="1" xr3:uid="{A18C986D-1177-439B-ACC0-FC5363BC95BE}" name="Weighted Score" dataDxfId="28">
      <calculatedColumnFormula>H35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1B2A3D7-744C-44EB-8594-AF2D466ED743}" name="Table212" displayName="Table212" ref="E61:E62" totalsRowShown="0" headerRowDxfId="27" dataDxfId="26">
  <autoFilter ref="E61:E62" xr:uid="{F1B2A3D7-744C-44EB-8594-AF2D466ED743}"/>
  <tableColumns count="1">
    <tableColumn id="1" xr3:uid="{2D4EE8CF-AD76-4EEC-B5A8-95EFA53D62A5}" name="Weighted Average Score" dataDxfId="25">
      <calculatedColumnFormula>H36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2A767BE-FB62-47E8-98C3-EC9CBD4D4250}" name="Table4" displayName="Table4" ref="A3:K141" totalsRowShown="0" headerRowDxfId="24" dataDxfId="22" headerRowBorderDxfId="23" tableBorderDxfId="21">
  <autoFilter ref="A3:K141" xr:uid="{E2A767BE-FB62-47E8-98C3-EC9CBD4D4250}"/>
  <tableColumns count="11">
    <tableColumn id="1" xr3:uid="{2CB18255-7F42-43A5-8807-423059DFD4DE}" name="Employee ID" dataDxfId="20"/>
    <tableColumn id="2" xr3:uid="{F742006D-39C3-4CD6-835F-EB308ABE04B4}" name="Employee Name" dataDxfId="19"/>
    <tableColumn id="3" xr3:uid="{8A1A5A14-B9DC-4137-A609-AEE474A260C5}" name="Position/Title" dataDxfId="18"/>
    <tableColumn id="4" xr3:uid="{F4798CAF-92E6-4C93-B2B7-F2CB5161602F}" name="Department" dataDxfId="17"/>
    <tableColumn id="5" xr3:uid="{B2D80D58-3EE5-4DB8-B7BB-6468883917E1}" name="Date of Hire" dataDxfId="16"/>
    <tableColumn id="6" xr3:uid="{F36143C1-1690-4F20-8B2C-958A10C5D038}" name="Superior Evaluator" dataDxfId="15"/>
    <tableColumn id="7" xr3:uid="{DE7F9C01-54AF-4AB6-A6FF-0A7F62AD5C12}" name="Date of Evaluation" dataDxfId="14"/>
    <tableColumn id="8" xr3:uid="{D30836CA-905E-4F8C-9046-BCD026681FAD}" name="Total Combined Score" dataDxfId="13"/>
    <tableColumn id="9" xr3:uid="{A0E3A356-CCDF-45C2-9ED6-F191F7BE0A8B}" name="Average Score" dataDxfId="12"/>
    <tableColumn id="10" xr3:uid="{25B63E33-B0BF-4FAA-9CA0-95E955CCDCF0}" name="Weighted Score" dataDxfId="11"/>
    <tableColumn id="11" xr3:uid="{80678DE0-E632-4E92-BA90-DB33B3A3CBE1}" name="Weighted Average Score" dataDxfId="10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7E4F207-00F9-4827-86FF-4AF8A86BF886}" name="Table7" displayName="Table7" ref="H1:I9" totalsRowShown="0">
  <autoFilter ref="H1:I9" xr:uid="{77E4F207-00F9-4827-86FF-4AF8A86BF886}"/>
  <tableColumns count="2">
    <tableColumn id="1" xr3:uid="{C4D57E1F-74C6-490A-879B-A28CD29BD02C}" name="Employees Evaluated per Department" dataDxfId="0"/>
    <tableColumn id="2" xr3:uid="{428C5506-DE34-42E0-8E49-4D0859A67B63}" name="To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6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table" Target="../tables/table2.xml"/><Relationship Id="rId5" Type="http://schemas.openxmlformats.org/officeDocument/2006/relationships/image" Target="../media/image1.emf"/><Relationship Id="rId15" Type="http://schemas.openxmlformats.org/officeDocument/2006/relationships/table" Target="../tables/table6.xml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Employees.xlsm" TargetMode="External"/><Relationship Id="rId13" Type="http://schemas.openxmlformats.org/officeDocument/2006/relationships/hyperlink" Target="Employees.xlsm" TargetMode="External"/><Relationship Id="rId18" Type="http://schemas.openxmlformats.org/officeDocument/2006/relationships/hyperlink" Target="Employees.xlsm" TargetMode="External"/><Relationship Id="rId26" Type="http://schemas.openxmlformats.org/officeDocument/2006/relationships/hyperlink" Target="Employees.xlsm" TargetMode="External"/><Relationship Id="rId3" Type="http://schemas.openxmlformats.org/officeDocument/2006/relationships/hyperlink" Target="Employees.xlsm" TargetMode="External"/><Relationship Id="rId21" Type="http://schemas.openxmlformats.org/officeDocument/2006/relationships/hyperlink" Target="Employees.xlsm" TargetMode="External"/><Relationship Id="rId7" Type="http://schemas.openxmlformats.org/officeDocument/2006/relationships/hyperlink" Target="Employees.xlsm" TargetMode="External"/><Relationship Id="rId12" Type="http://schemas.openxmlformats.org/officeDocument/2006/relationships/hyperlink" Target="Employees.xlsm" TargetMode="External"/><Relationship Id="rId17" Type="http://schemas.openxmlformats.org/officeDocument/2006/relationships/hyperlink" Target="Employees.xlsm" TargetMode="External"/><Relationship Id="rId25" Type="http://schemas.openxmlformats.org/officeDocument/2006/relationships/hyperlink" Target="Employees.xlsm" TargetMode="External"/><Relationship Id="rId2" Type="http://schemas.openxmlformats.org/officeDocument/2006/relationships/hyperlink" Target="Employees.xlsm" TargetMode="External"/><Relationship Id="rId16" Type="http://schemas.openxmlformats.org/officeDocument/2006/relationships/hyperlink" Target="Employees.xlsm" TargetMode="External"/><Relationship Id="rId20" Type="http://schemas.openxmlformats.org/officeDocument/2006/relationships/hyperlink" Target="Employees.xlsm" TargetMode="External"/><Relationship Id="rId29" Type="http://schemas.openxmlformats.org/officeDocument/2006/relationships/printerSettings" Target="../printerSettings/printerSettings2.bin"/><Relationship Id="rId1" Type="http://schemas.openxmlformats.org/officeDocument/2006/relationships/hyperlink" Target="Employees.xlsm" TargetMode="External"/><Relationship Id="rId6" Type="http://schemas.openxmlformats.org/officeDocument/2006/relationships/hyperlink" Target="Employees.xlsm" TargetMode="External"/><Relationship Id="rId11" Type="http://schemas.openxmlformats.org/officeDocument/2006/relationships/hyperlink" Target="Employees.xlsm" TargetMode="External"/><Relationship Id="rId24" Type="http://schemas.openxmlformats.org/officeDocument/2006/relationships/hyperlink" Target="Employees.xlsm" TargetMode="External"/><Relationship Id="rId5" Type="http://schemas.openxmlformats.org/officeDocument/2006/relationships/hyperlink" Target="Employees.xlsm" TargetMode="External"/><Relationship Id="rId15" Type="http://schemas.openxmlformats.org/officeDocument/2006/relationships/hyperlink" Target="Employees.xlsm" TargetMode="External"/><Relationship Id="rId23" Type="http://schemas.openxmlformats.org/officeDocument/2006/relationships/hyperlink" Target="Employees.xlsm" TargetMode="External"/><Relationship Id="rId28" Type="http://schemas.openxmlformats.org/officeDocument/2006/relationships/hyperlink" Target="Employees.xlsm" TargetMode="External"/><Relationship Id="rId10" Type="http://schemas.openxmlformats.org/officeDocument/2006/relationships/hyperlink" Target="Employees.xlsm" TargetMode="External"/><Relationship Id="rId19" Type="http://schemas.openxmlformats.org/officeDocument/2006/relationships/hyperlink" Target="Employees.xlsm" TargetMode="External"/><Relationship Id="rId4" Type="http://schemas.openxmlformats.org/officeDocument/2006/relationships/hyperlink" Target="Employees.xlsm" TargetMode="External"/><Relationship Id="rId9" Type="http://schemas.openxmlformats.org/officeDocument/2006/relationships/hyperlink" Target="Employees.xlsm" TargetMode="External"/><Relationship Id="rId14" Type="http://schemas.openxmlformats.org/officeDocument/2006/relationships/hyperlink" Target="Employees.xlsm" TargetMode="External"/><Relationship Id="rId22" Type="http://schemas.openxmlformats.org/officeDocument/2006/relationships/hyperlink" Target="Employees.xlsm" TargetMode="External"/><Relationship Id="rId27" Type="http://schemas.openxmlformats.org/officeDocument/2006/relationships/hyperlink" Target="Employees.xlsm" TargetMode="External"/><Relationship Id="rId30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DA53C-03B9-4EB3-88A2-73509A0BE6F0}">
  <sheetPr codeName="Sheet3">
    <pageSetUpPr fitToPage="1"/>
  </sheetPr>
  <dimension ref="A1:K75"/>
  <sheetViews>
    <sheetView tabSelected="1" topLeftCell="A16" zoomScale="70" zoomScaleNormal="70" workbookViewId="0">
      <selection activeCell="F85" sqref="F85"/>
    </sheetView>
  </sheetViews>
  <sheetFormatPr defaultColWidth="9" defaultRowHeight="18" customHeight="1"/>
  <cols>
    <col min="1" max="1" width="27" style="12" customWidth="1"/>
    <col min="2" max="2" width="38" style="46" customWidth="1"/>
    <col min="3" max="3" width="28.85546875" style="46" customWidth="1"/>
    <col min="4" max="4" width="30.7109375" style="46" customWidth="1"/>
    <col min="5" max="5" width="29.42578125" style="46" customWidth="1"/>
    <col min="6" max="6" width="29.7109375" style="46" customWidth="1"/>
    <col min="7" max="7" width="26.42578125" style="46" customWidth="1"/>
    <col min="8" max="8" width="22.140625" style="12" customWidth="1"/>
    <col min="9" max="9" width="36.28515625" style="12" customWidth="1"/>
    <col min="10" max="10" width="26.5703125" style="12" customWidth="1"/>
    <col min="11" max="16384" width="9" style="12"/>
  </cols>
  <sheetData>
    <row r="1" spans="1:10" ht="55.5" customHeight="1">
      <c r="A1" s="132" t="s">
        <v>50</v>
      </c>
      <c r="B1" s="132"/>
      <c r="C1" s="132"/>
      <c r="D1" s="132"/>
      <c r="E1" s="132"/>
      <c r="F1" s="132"/>
      <c r="G1" s="132"/>
      <c r="H1" s="132"/>
      <c r="I1" s="132"/>
    </row>
    <row r="2" spans="1:10" ht="30" customHeight="1">
      <c r="A2" s="135" t="s">
        <v>83</v>
      </c>
      <c r="B2" s="135"/>
      <c r="C2" s="135"/>
      <c r="D2" s="135"/>
      <c r="E2" s="135"/>
      <c r="F2" s="135"/>
      <c r="G2" s="135"/>
      <c r="H2" s="135"/>
      <c r="I2" s="135"/>
    </row>
    <row r="3" spans="1:10" ht="42.95" customHeight="1">
      <c r="A3" s="13" t="s">
        <v>0</v>
      </c>
      <c r="B3" s="125" t="s">
        <v>164</v>
      </c>
      <c r="C3" s="126"/>
      <c r="D3" s="127"/>
      <c r="E3" s="14" t="s">
        <v>40</v>
      </c>
      <c r="F3" s="128" t="s">
        <v>87</v>
      </c>
      <c r="G3" s="129"/>
      <c r="H3" s="129"/>
      <c r="I3" s="130"/>
      <c r="J3" s="5"/>
    </row>
    <row r="4" spans="1:10" ht="42.95" customHeight="1">
      <c r="A4" s="13" t="s">
        <v>39</v>
      </c>
      <c r="B4" s="125">
        <v>100031</v>
      </c>
      <c r="C4" s="133"/>
      <c r="D4" s="134"/>
      <c r="E4" s="14" t="s">
        <v>61</v>
      </c>
      <c r="F4" s="128" t="s">
        <v>88</v>
      </c>
      <c r="G4" s="129"/>
      <c r="H4" s="129"/>
      <c r="I4" s="130"/>
      <c r="J4" s="5"/>
    </row>
    <row r="5" spans="1:10" ht="42.95" customHeight="1">
      <c r="A5" s="13" t="s">
        <v>37</v>
      </c>
      <c r="B5" s="125" t="s">
        <v>147</v>
      </c>
      <c r="C5" s="126"/>
      <c r="D5" s="127"/>
      <c r="E5" s="14" t="s">
        <v>41</v>
      </c>
      <c r="F5" s="128" t="s">
        <v>89</v>
      </c>
      <c r="G5" s="129"/>
      <c r="H5" s="129"/>
      <c r="I5" s="130"/>
      <c r="J5"/>
    </row>
    <row r="6" spans="1:10" ht="42.95" customHeight="1">
      <c r="A6" s="13" t="s">
        <v>38</v>
      </c>
      <c r="B6" s="125" t="s">
        <v>109</v>
      </c>
      <c r="C6" s="126"/>
      <c r="D6" s="127"/>
      <c r="E6" s="14" t="s">
        <v>42</v>
      </c>
      <c r="F6" s="131">
        <v>44805</v>
      </c>
      <c r="G6" s="126"/>
      <c r="H6" s="126"/>
      <c r="I6" s="127"/>
    </row>
    <row r="7" spans="1:10" ht="42.95" customHeight="1">
      <c r="A7" s="14" t="s">
        <v>55</v>
      </c>
      <c r="B7" s="137">
        <v>45092</v>
      </c>
      <c r="C7" s="138"/>
      <c r="D7" s="138"/>
      <c r="E7" s="138"/>
      <c r="F7" s="138"/>
      <c r="G7" s="138"/>
      <c r="H7" s="138"/>
      <c r="I7" s="139"/>
      <c r="J7" s="91" t="s">
        <v>137</v>
      </c>
    </row>
    <row r="8" spans="1:10" ht="22.5" customHeight="1">
      <c r="A8" s="141" t="s">
        <v>54</v>
      </c>
      <c r="B8" s="142"/>
      <c r="C8" s="142"/>
      <c r="D8" s="142"/>
      <c r="E8" s="142"/>
      <c r="F8" s="142"/>
      <c r="G8" s="142"/>
      <c r="H8" s="142"/>
      <c r="I8" s="142"/>
    </row>
    <row r="9" spans="1:10" ht="18" customHeight="1">
      <c r="A9" s="112" t="s">
        <v>1</v>
      </c>
      <c r="B9" s="112"/>
      <c r="C9" s="112"/>
      <c r="D9" s="112"/>
      <c r="E9" s="112"/>
      <c r="F9" s="112"/>
      <c r="G9" s="112"/>
      <c r="H9" s="112"/>
      <c r="I9" s="112"/>
    </row>
    <row r="10" spans="1:10" ht="18" customHeight="1">
      <c r="A10" s="112" t="s">
        <v>36</v>
      </c>
      <c r="B10" s="112"/>
      <c r="C10" s="112"/>
      <c r="D10" s="112"/>
      <c r="E10" s="112"/>
      <c r="F10" s="112"/>
      <c r="G10" s="112"/>
      <c r="H10" s="112"/>
      <c r="I10" s="112"/>
    </row>
    <row r="11" spans="1:10" ht="18" customHeight="1">
      <c r="A11" s="143" t="s">
        <v>2</v>
      </c>
      <c r="B11" s="143"/>
      <c r="C11" s="143"/>
      <c r="D11" s="144" t="s">
        <v>3</v>
      </c>
      <c r="E11" s="144"/>
      <c r="F11" s="144"/>
      <c r="G11" s="144"/>
      <c r="H11" s="144"/>
      <c r="I11" s="144"/>
    </row>
    <row r="12" spans="1:10" ht="18" customHeight="1">
      <c r="A12" s="143"/>
      <c r="B12" s="143"/>
      <c r="C12" s="143"/>
      <c r="D12" s="6" t="s">
        <v>51</v>
      </c>
      <c r="E12" s="7" t="s">
        <v>52</v>
      </c>
      <c r="F12" s="8" t="s">
        <v>79</v>
      </c>
      <c r="G12" s="9" t="s">
        <v>53</v>
      </c>
      <c r="H12" s="16" t="s">
        <v>4</v>
      </c>
      <c r="I12" s="16" t="s">
        <v>5</v>
      </c>
    </row>
    <row r="13" spans="1:10" ht="18" customHeight="1">
      <c r="A13" s="145" t="s">
        <v>6</v>
      </c>
      <c r="B13" s="146" t="s">
        <v>7</v>
      </c>
      <c r="C13" s="146"/>
      <c r="D13" s="10" t="s">
        <v>34</v>
      </c>
      <c r="E13" s="10" t="s">
        <v>31</v>
      </c>
      <c r="F13" s="10" t="s">
        <v>33</v>
      </c>
      <c r="G13" s="10" t="s">
        <v>34</v>
      </c>
      <c r="H13" s="18">
        <f>VLOOKUP(D13, Tables!$B$2:$C$6, 2, FALSE) + VLOOKUP(E13, Tables!$B$2:$C$6, 2, FALSE) + VLOOKUP(F13,Tables!$B$2:$C$6, 2, FALSE) + VLOOKUP(G13, Tables!$B$2:$C$6, 2, FALSE)</f>
        <v>12</v>
      </c>
      <c r="I13" s="19" t="str">
        <f>VLOOKUP(H13, Tables!$E$2:$I$7, 2, TRUE)</f>
        <v>Meets Basic Standards</v>
      </c>
    </row>
    <row r="14" spans="1:10" ht="18" customHeight="1">
      <c r="A14" s="145"/>
      <c r="B14" s="147" t="s">
        <v>8</v>
      </c>
      <c r="C14" s="147"/>
      <c r="D14" s="11" t="s">
        <v>34</v>
      </c>
      <c r="E14" s="11" t="s">
        <v>31</v>
      </c>
      <c r="F14" s="11" t="s">
        <v>33</v>
      </c>
      <c r="G14" s="11" t="s">
        <v>31</v>
      </c>
      <c r="H14" s="17">
        <f>VLOOKUP(D14, Tables!$B$2:$C$6, 2, FALSE) + VLOOKUP(E14, Tables!$B$2:$C$6, 2, FALSE) + VLOOKUP(F14,Tables!$B$2:$C$6, 2, FALSE) + VLOOKUP(G14, Tables!$B$2:$C$6, 2, FALSE)</f>
        <v>15</v>
      </c>
      <c r="I14" s="20" t="str">
        <f>VLOOKUP(H14, Tables!$E$2:$I$7, 2, TRUE)</f>
        <v>Satisfactory</v>
      </c>
    </row>
    <row r="15" spans="1:10" ht="18" customHeight="1">
      <c r="A15" s="145"/>
      <c r="B15" s="146" t="s">
        <v>9</v>
      </c>
      <c r="C15" s="146"/>
      <c r="D15" s="10" t="s">
        <v>32</v>
      </c>
      <c r="E15" s="10" t="s">
        <v>32</v>
      </c>
      <c r="F15" s="10" t="s">
        <v>34</v>
      </c>
      <c r="G15" s="10" t="s">
        <v>35</v>
      </c>
      <c r="H15" s="17">
        <f>VLOOKUP(D15, Tables!$B$2:$C$6, 2, FALSE) + VLOOKUP(E15, Tables!$B$2:$C$6, 2, FALSE) + VLOOKUP(F15,Tables!$B$2:$C$6, 2, FALSE) + VLOOKUP(G15, Tables!$B$2:$C$6, 2, FALSE)</f>
        <v>11</v>
      </c>
      <c r="I15" s="20" t="str">
        <f>VLOOKUP(H15, Tables!$E$2:$I$7, 2, TRUE)</f>
        <v>Meets Basic Standards</v>
      </c>
    </row>
    <row r="16" spans="1:10" ht="18" customHeight="1">
      <c r="A16" s="145"/>
      <c r="B16" s="147" t="s">
        <v>10</v>
      </c>
      <c r="C16" s="147"/>
      <c r="D16" s="11" t="s">
        <v>34</v>
      </c>
      <c r="E16" s="11" t="s">
        <v>34</v>
      </c>
      <c r="F16" s="11" t="s">
        <v>35</v>
      </c>
      <c r="G16" s="11" t="s">
        <v>35</v>
      </c>
      <c r="H16" s="17">
        <f>VLOOKUP(D16, Tables!$B$2:$C$6, 2, FALSE) + VLOOKUP(E16, Tables!$B$2:$C$6, 2, FALSE) + VLOOKUP(F16,Tables!$B$2:$C$6, 2, FALSE) + VLOOKUP(G16, Tables!$B$2:$C$6, 2, FALSE)</f>
        <v>6</v>
      </c>
      <c r="I16" s="20" t="str">
        <f>VLOOKUP(H16, Tables!$E$2:$I$7, 2, TRUE)</f>
        <v>Below Expectations</v>
      </c>
    </row>
    <row r="17" spans="1:9" ht="18" customHeight="1">
      <c r="A17" s="145"/>
      <c r="B17" s="146" t="s">
        <v>11</v>
      </c>
      <c r="C17" s="146"/>
      <c r="D17" s="10" t="s">
        <v>33</v>
      </c>
      <c r="E17" s="10" t="s">
        <v>33</v>
      </c>
      <c r="F17" s="10" t="s">
        <v>35</v>
      </c>
      <c r="G17" s="10" t="s">
        <v>33</v>
      </c>
      <c r="H17" s="17">
        <f>VLOOKUP(D17, Tables!$B$2:$C$6, 2, FALSE) + VLOOKUP(E17, Tables!$B$2:$C$6, 2, FALSE) + VLOOKUP(F17,Tables!$B$2:$C$6, 2, FALSE) + VLOOKUP(G17, Tables!$B$2:$C$6, 2, FALSE)</f>
        <v>10</v>
      </c>
      <c r="I17" s="20" t="str">
        <f>VLOOKUP(H17, Tables!$E$2:$I$7, 2, TRUE)</f>
        <v>Meets Basic Standards</v>
      </c>
    </row>
    <row r="18" spans="1:9" ht="18" customHeight="1">
      <c r="A18" s="113" t="s">
        <v>12</v>
      </c>
      <c r="B18" s="114" t="s">
        <v>13</v>
      </c>
      <c r="C18" s="115"/>
      <c r="D18" s="11" t="s">
        <v>32</v>
      </c>
      <c r="E18" s="11" t="s">
        <v>32</v>
      </c>
      <c r="F18" s="11" t="s">
        <v>34</v>
      </c>
      <c r="G18" s="11" t="s">
        <v>31</v>
      </c>
      <c r="H18" s="21">
        <f>VLOOKUP(D18, Tables!$B$2:$C$6, 2, FALSE) + VLOOKUP(E18, Tables!$B$2:$C$6, 2, FALSE) + VLOOKUP(F18,Tables!$B$2:$C$6, 2, FALSE) + VLOOKUP(G18, Tables!$B$2:$C$6, 2, FALSE)</f>
        <v>15</v>
      </c>
      <c r="I18" s="20" t="str">
        <f>VLOOKUP(H18, Tables!$E$2:$I$7, 2, TRUE)</f>
        <v>Satisfactory</v>
      </c>
    </row>
    <row r="19" spans="1:9" ht="18" customHeight="1">
      <c r="A19" s="113"/>
      <c r="B19" s="116" t="s">
        <v>14</v>
      </c>
      <c r="C19" s="116"/>
      <c r="D19" s="10" t="s">
        <v>35</v>
      </c>
      <c r="E19" s="10" t="s">
        <v>31</v>
      </c>
      <c r="F19" s="10" t="s">
        <v>33</v>
      </c>
      <c r="G19" s="10" t="s">
        <v>32</v>
      </c>
      <c r="H19" s="21">
        <f>VLOOKUP(D19, Tables!$B$2:$C$6, 2, FALSE) + VLOOKUP(E19, Tables!$B$2:$C$6, 2, FALSE) + VLOOKUP(F19,Tables!$B$2:$C$6, 2, FALSE) + VLOOKUP(G19, Tables!$B$2:$C$6, 2, FALSE)</f>
        <v>13</v>
      </c>
      <c r="I19" s="20" t="str">
        <f>VLOOKUP(H19, Tables!$E$2:$I$7, 2, TRUE)</f>
        <v>Satisfactory</v>
      </c>
    </row>
    <row r="20" spans="1:9" ht="18" customHeight="1">
      <c r="A20" s="113"/>
      <c r="B20" s="114" t="s">
        <v>15</v>
      </c>
      <c r="C20" s="115"/>
      <c r="D20" s="11" t="s">
        <v>33</v>
      </c>
      <c r="E20" s="11" t="s">
        <v>34</v>
      </c>
      <c r="F20" s="11" t="s">
        <v>33</v>
      </c>
      <c r="G20" s="11" t="s">
        <v>34</v>
      </c>
      <c r="H20" s="21">
        <f>VLOOKUP(D20, Tables!$B$2:$C$6, 2, FALSE) + VLOOKUP(E20, Tables!$B$2:$C$6, 2, FALSE) + VLOOKUP(F20,Tables!$B$2:$C$6, 2, FALSE) + VLOOKUP(G20, Tables!$B$2:$C$6, 2, FALSE)</f>
        <v>10</v>
      </c>
      <c r="I20" s="20" t="str">
        <f>VLOOKUP(H20, Tables!$E$2:$I$7, 2, TRUE)</f>
        <v>Meets Basic Standards</v>
      </c>
    </row>
    <row r="21" spans="1:9" ht="18" customHeight="1">
      <c r="A21" s="113"/>
      <c r="B21" s="117" t="s">
        <v>16</v>
      </c>
      <c r="C21" s="118"/>
      <c r="D21" s="10" t="s">
        <v>34</v>
      </c>
      <c r="E21" s="10" t="s">
        <v>31</v>
      </c>
      <c r="F21" s="10" t="s">
        <v>32</v>
      </c>
      <c r="G21" s="10" t="s">
        <v>33</v>
      </c>
      <c r="H21" s="21">
        <f>VLOOKUP(D21, Tables!$B$2:$C$6, 2, FALSE) + VLOOKUP(E21, Tables!$B$2:$C$6, 2, FALSE) + VLOOKUP(F21,Tables!$B$2:$C$6, 2, FALSE) + VLOOKUP(G21, Tables!$B$2:$C$6, 2, FALSE)</f>
        <v>14</v>
      </c>
      <c r="I21" s="20" t="str">
        <f>VLOOKUP(H21, Tables!$E$2:$I$7, 2, TRUE)</f>
        <v>Satisfactory</v>
      </c>
    </row>
    <row r="22" spans="1:9" ht="18" customHeight="1">
      <c r="A22" s="113"/>
      <c r="B22" s="114" t="s">
        <v>17</v>
      </c>
      <c r="C22" s="115"/>
      <c r="D22" s="11" t="s">
        <v>32</v>
      </c>
      <c r="E22" s="11" t="s">
        <v>33</v>
      </c>
      <c r="F22" s="11" t="s">
        <v>33</v>
      </c>
      <c r="G22" s="11" t="s">
        <v>34</v>
      </c>
      <c r="H22" s="21">
        <f>VLOOKUP(D22, Tables!$B$2:$C$6, 2, FALSE) + VLOOKUP(E22, Tables!$B$2:$C$6, 2, FALSE) + VLOOKUP(F22,Tables!$B$2:$C$6, 2, FALSE) + VLOOKUP(G22, Tables!$B$2:$C$6, 2, FALSE)</f>
        <v>12</v>
      </c>
      <c r="I22" s="20" t="str">
        <f>VLOOKUP(H22, Tables!$E$2:$I$7, 2, TRUE)</f>
        <v>Meets Basic Standards</v>
      </c>
    </row>
    <row r="23" spans="1:9" ht="18" customHeight="1">
      <c r="A23" s="148" t="s">
        <v>18</v>
      </c>
      <c r="B23" s="136" t="s">
        <v>19</v>
      </c>
      <c r="C23" s="136"/>
      <c r="D23" s="10" t="s">
        <v>31</v>
      </c>
      <c r="E23" s="10" t="s">
        <v>33</v>
      </c>
      <c r="F23" s="10" t="s">
        <v>35</v>
      </c>
      <c r="G23" s="10" t="s">
        <v>32</v>
      </c>
      <c r="H23" s="22">
        <f>VLOOKUP(D23, Tables!$B$2:$C$6, 2, FALSE) + VLOOKUP(E23, Tables!$B$2:$C$6, 2, FALSE) + VLOOKUP(F23,Tables!$B$2:$C$6, 2, FALSE) + VLOOKUP(G23, Tables!$B$2:$C$6, 2, FALSE)</f>
        <v>13</v>
      </c>
      <c r="I23" s="20" t="str">
        <f>VLOOKUP(H23, Tables!$E$2:$I$7, 2, TRUE)</f>
        <v>Satisfactory</v>
      </c>
    </row>
    <row r="24" spans="1:9" ht="18" customHeight="1">
      <c r="A24" s="148"/>
      <c r="B24" s="116" t="s">
        <v>20</v>
      </c>
      <c r="C24" s="116"/>
      <c r="D24" s="11" t="s">
        <v>34</v>
      </c>
      <c r="E24" s="11" t="s">
        <v>33</v>
      </c>
      <c r="F24" s="11" t="s">
        <v>35</v>
      </c>
      <c r="G24" s="11" t="s">
        <v>33</v>
      </c>
      <c r="H24" s="22">
        <f>VLOOKUP(D24, Tables!$B$2:$C$6, 2, FALSE) + VLOOKUP(E24, Tables!$B$2:$C$6, 2, FALSE) + VLOOKUP(F24,Tables!$B$2:$C$6, 2, FALSE) + VLOOKUP(G24, Tables!$B$2:$C$6, 2, FALSE)</f>
        <v>9</v>
      </c>
      <c r="I24" s="20" t="str">
        <f>VLOOKUP(H24, Tables!$E$2:$I$7, 2, TRUE)</f>
        <v>Meets Basic Standards</v>
      </c>
    </row>
    <row r="25" spans="1:9" ht="18" customHeight="1">
      <c r="A25" s="148"/>
      <c r="B25" s="136" t="s">
        <v>21</v>
      </c>
      <c r="C25" s="136"/>
      <c r="D25" s="10" t="s">
        <v>34</v>
      </c>
      <c r="E25" s="10" t="s">
        <v>31</v>
      </c>
      <c r="F25" s="10" t="s">
        <v>35</v>
      </c>
      <c r="G25" s="10" t="s">
        <v>34</v>
      </c>
      <c r="H25" s="22">
        <f>VLOOKUP(D25, Tables!$B$2:$C$6, 2, FALSE) + VLOOKUP(E25, Tables!$B$2:$C$6, 2, FALSE) + VLOOKUP(F25,Tables!$B$2:$C$6, 2, FALSE) + VLOOKUP(G25, Tables!$B$2:$C$6, 2, FALSE)</f>
        <v>10</v>
      </c>
      <c r="I25" s="20" t="str">
        <f>VLOOKUP(H25, Tables!$E$2:$I$7, 2, TRUE)</f>
        <v>Meets Basic Standards</v>
      </c>
    </row>
    <row r="26" spans="1:9" ht="18" customHeight="1">
      <c r="A26" s="148"/>
      <c r="B26" s="116" t="s">
        <v>22</v>
      </c>
      <c r="C26" s="116"/>
      <c r="D26" s="11" t="s">
        <v>34</v>
      </c>
      <c r="E26" s="11" t="s">
        <v>31</v>
      </c>
      <c r="F26" s="11" t="s">
        <v>35</v>
      </c>
      <c r="G26" s="11" t="s">
        <v>31</v>
      </c>
      <c r="H26" s="22">
        <f>VLOOKUP(D26, Tables!$B$2:$C$6, 2, FALSE) + VLOOKUP(E26, Tables!$B$2:$C$6, 2, FALSE) + VLOOKUP(F26,Tables!$B$2:$C$6, 2, FALSE) + VLOOKUP(G26, Tables!$B$2:$C$6, 2, FALSE)</f>
        <v>13</v>
      </c>
      <c r="I26" s="20" t="str">
        <f>VLOOKUP(H26, Tables!$E$2:$I$7, 2, TRUE)</f>
        <v>Satisfactory</v>
      </c>
    </row>
    <row r="27" spans="1:9" ht="18" customHeight="1">
      <c r="A27" s="148"/>
      <c r="B27" s="136" t="s">
        <v>23</v>
      </c>
      <c r="C27" s="136"/>
      <c r="D27" s="10" t="s">
        <v>33</v>
      </c>
      <c r="E27" s="10" t="s">
        <v>31</v>
      </c>
      <c r="F27" s="10" t="s">
        <v>34</v>
      </c>
      <c r="G27" s="10" t="s">
        <v>33</v>
      </c>
      <c r="H27" s="22">
        <f>VLOOKUP(D27, Tables!$B$2:$C$6, 2, FALSE) + VLOOKUP(E27, Tables!$B$2:$C$6, 2, FALSE) + VLOOKUP(F27,Tables!$B$2:$C$6, 2, FALSE) + VLOOKUP(G27, Tables!$B$2:$C$6, 2, FALSE)</f>
        <v>13</v>
      </c>
      <c r="I27" s="20" t="str">
        <f>VLOOKUP(H27, Tables!$E$2:$I$7, 2, TRUE)</f>
        <v>Satisfactory</v>
      </c>
    </row>
    <row r="28" spans="1:9" ht="18" customHeight="1">
      <c r="A28" s="124" t="s">
        <v>24</v>
      </c>
      <c r="B28" s="112" t="s">
        <v>25</v>
      </c>
      <c r="C28" s="112"/>
      <c r="D28" s="11" t="s">
        <v>35</v>
      </c>
      <c r="E28" s="11" t="s">
        <v>35</v>
      </c>
      <c r="F28" s="11" t="s">
        <v>35</v>
      </c>
      <c r="G28" s="11" t="s">
        <v>32</v>
      </c>
      <c r="H28" s="15">
        <f>VLOOKUP(D28, Tables!$B$2:$C$6, 2, FALSE) + VLOOKUP(E28, Tables!$B$2:$C$6, 2, FALSE) + VLOOKUP(F28,Tables!$B$2:$C$6, 2, FALSE) + VLOOKUP(G28, Tables!$B$2:$C$6, 2, FALSE)</f>
        <v>7</v>
      </c>
      <c r="I28" s="20" t="str">
        <f>VLOOKUP(H28, Tables!$E$2:$I$7, 2, TRUE)</f>
        <v>Below Expectations</v>
      </c>
    </row>
    <row r="29" spans="1:9" ht="18" customHeight="1">
      <c r="A29" s="124"/>
      <c r="B29" s="116" t="s">
        <v>26</v>
      </c>
      <c r="C29" s="116"/>
      <c r="D29" s="10" t="s">
        <v>33</v>
      </c>
      <c r="E29" s="10" t="s">
        <v>33</v>
      </c>
      <c r="F29" s="10" t="s">
        <v>33</v>
      </c>
      <c r="G29" s="10" t="s">
        <v>34</v>
      </c>
      <c r="H29" s="15">
        <f>VLOOKUP(D29, Tables!$B$2:$C$6, 2, FALSE) + VLOOKUP(E29, Tables!$B$2:$C$6, 2, FALSE) + VLOOKUP(F29,Tables!$B$2:$C$6, 2, FALSE) + VLOOKUP(G29, Tables!$B$2:$C$6, 2, FALSE)</f>
        <v>11</v>
      </c>
      <c r="I29" s="20" t="str">
        <f>VLOOKUP(H29, Tables!$E$2:$I$7, 2, TRUE)</f>
        <v>Meets Basic Standards</v>
      </c>
    </row>
    <row r="30" spans="1:9" ht="19.5" customHeight="1">
      <c r="A30" s="124"/>
      <c r="B30" s="112" t="s">
        <v>27</v>
      </c>
      <c r="C30" s="112"/>
      <c r="D30" s="11" t="s">
        <v>35</v>
      </c>
      <c r="E30" s="11" t="s">
        <v>32</v>
      </c>
      <c r="F30" s="11" t="s">
        <v>32</v>
      </c>
      <c r="G30" s="11" t="s">
        <v>32</v>
      </c>
      <c r="H30" s="15">
        <f>VLOOKUP(D30, Tables!$B$2:$C$6, 2, FALSE) + VLOOKUP(E30, Tables!$B$2:$C$6, 2, FALSE) + VLOOKUP(F30,Tables!$B$2:$C$6, 2, FALSE) + VLOOKUP(G30, Tables!$B$2:$C$6, 2, FALSE)</f>
        <v>13</v>
      </c>
      <c r="I30" s="20" t="str">
        <f>VLOOKUP(H30, Tables!$E$2:$I$7, 2, TRUE)</f>
        <v>Satisfactory</v>
      </c>
    </row>
    <row r="31" spans="1:9" ht="17.25" customHeight="1">
      <c r="A31" s="124"/>
      <c r="B31" s="140" t="s">
        <v>30</v>
      </c>
      <c r="C31" s="140"/>
      <c r="D31" s="10" t="s">
        <v>33</v>
      </c>
      <c r="E31" s="10" t="s">
        <v>35</v>
      </c>
      <c r="F31" s="10" t="s">
        <v>31</v>
      </c>
      <c r="G31" s="10" t="s">
        <v>31</v>
      </c>
      <c r="H31" s="15">
        <f>VLOOKUP(D31, Tables!$B$2:$C$6, 2, FALSE) + VLOOKUP(E31, Tables!$B$2:$C$6, 2, FALSE) + VLOOKUP(F31,Tables!$B$2:$C$6, 2, FALSE) + VLOOKUP(G31, Tables!$B$2:$C$6, 2, FALSE)</f>
        <v>14</v>
      </c>
      <c r="I31" s="20" t="str">
        <f>VLOOKUP(H31, Tables!$E$2:$I$7, 2, TRUE)</f>
        <v>Satisfactory</v>
      </c>
    </row>
    <row r="32" spans="1:9" ht="18" customHeight="1">
      <c r="A32" s="124"/>
      <c r="B32" s="112" t="s">
        <v>28</v>
      </c>
      <c r="C32" s="112"/>
      <c r="D32" s="11" t="s">
        <v>32</v>
      </c>
      <c r="E32" s="11" t="s">
        <v>34</v>
      </c>
      <c r="F32" s="11" t="s">
        <v>32</v>
      </c>
      <c r="G32" s="11" t="s">
        <v>31</v>
      </c>
      <c r="H32" s="15">
        <f>VLOOKUP(D32, Tables!$B$2:$C$6, 2, FALSE) + VLOOKUP(E32, Tables!$B$2:$C$6, 2, FALSE) + VLOOKUP(F32,Tables!$B$2:$C$6, 2, FALSE) + VLOOKUP(G32, Tables!$B$2:$C$6, 2, FALSE)</f>
        <v>15</v>
      </c>
      <c r="I32" s="20" t="str">
        <f>VLOOKUP(H32, Tables!$E$2:$I$7, 2, TRUE)</f>
        <v>Satisfactory</v>
      </c>
    </row>
    <row r="33" spans="1:11" ht="18" customHeight="1">
      <c r="A33" s="122" t="s">
        <v>29</v>
      </c>
      <c r="B33" s="122"/>
      <c r="C33" s="122"/>
      <c r="D33" s="24">
        <f>SUMPRODUCT(MATCH(D13:D32, {"Extremely Poor","Poor","Average","Good","Excellent"}, 0))</f>
        <v>53</v>
      </c>
      <c r="E33" s="24">
        <f>SUMPRODUCT(MATCH(E13:E32, {"Extremely Poor","Poor","Average","Good","Excellent"}, 0))</f>
        <v>70</v>
      </c>
      <c r="F33" s="24">
        <f>SUMPRODUCT(MATCH(F13:F32, {"Extremely Poor","Poor","Average","Good","Excellent"}, 0))</f>
        <v>48</v>
      </c>
      <c r="G33" s="24">
        <f>SUMPRODUCT(MATCH(G13:G32, {"Extremely Poor","Poor","Average","Good","Excellent"}, 0))</f>
        <v>65</v>
      </c>
      <c r="H33" s="25">
        <f>SUM(H13:H32)</f>
        <v>236</v>
      </c>
      <c r="I33" s="26"/>
    </row>
    <row r="34" spans="1:11" ht="18" customHeight="1">
      <c r="A34" s="103" t="s">
        <v>80</v>
      </c>
      <c r="B34" s="104"/>
      <c r="C34" s="105"/>
      <c r="D34" s="23">
        <f>D33/20</f>
        <v>2.65</v>
      </c>
      <c r="E34" s="23">
        <f>E33/20</f>
        <v>3.5</v>
      </c>
      <c r="F34" s="23">
        <f>F33/20</f>
        <v>2.4</v>
      </c>
      <c r="G34" s="23">
        <f>G33/20</f>
        <v>3.25</v>
      </c>
      <c r="H34" s="27">
        <f>SUM(D34:G34)</f>
        <v>11.8</v>
      </c>
      <c r="I34" s="26"/>
    </row>
    <row r="35" spans="1:11" ht="18" customHeight="1">
      <c r="A35" s="119" t="s">
        <v>65</v>
      </c>
      <c r="B35" s="120"/>
      <c r="C35" s="121"/>
      <c r="D35" s="28">
        <f>D33*0.4</f>
        <v>21.200000000000003</v>
      </c>
      <c r="E35" s="28">
        <f>E33*0.3</f>
        <v>21</v>
      </c>
      <c r="F35" s="28">
        <f>F33*0.2</f>
        <v>9.6000000000000014</v>
      </c>
      <c r="G35" s="28">
        <f>G33*0.1</f>
        <v>6.5</v>
      </c>
      <c r="H35" s="29">
        <f>SUM(D35:G35)</f>
        <v>58.300000000000004</v>
      </c>
      <c r="I35" s="26"/>
    </row>
    <row r="36" spans="1:11" ht="18" customHeight="1">
      <c r="A36" s="106" t="s">
        <v>81</v>
      </c>
      <c r="B36" s="107"/>
      <c r="C36" s="108"/>
      <c r="D36" s="30">
        <f>D35/20</f>
        <v>1.06</v>
      </c>
      <c r="E36" s="31">
        <f>E35/20</f>
        <v>1.05</v>
      </c>
      <c r="F36" s="31">
        <f>F35/20</f>
        <v>0.48000000000000009</v>
      </c>
      <c r="G36" s="31">
        <f>G35/20</f>
        <v>0.32500000000000001</v>
      </c>
      <c r="H36" s="32">
        <f>SUM(D36:G36)</f>
        <v>2.9150000000000005</v>
      </c>
      <c r="I36" s="26"/>
    </row>
    <row r="37" spans="1:11" ht="36" customHeight="1">
      <c r="A37" s="123" t="s">
        <v>159</v>
      </c>
      <c r="B37" s="123"/>
      <c r="C37" s="123"/>
      <c r="D37" s="99"/>
      <c r="E37" s="99"/>
      <c r="F37" s="99"/>
      <c r="G37" s="99"/>
      <c r="H37" s="26"/>
      <c r="I37" s="26"/>
    </row>
    <row r="38" spans="1:11" ht="15.75" customHeight="1">
      <c r="A38" s="33">
        <f>$B$4</f>
        <v>100031</v>
      </c>
      <c r="B38" s="34" t="str">
        <f>$B$3</f>
        <v>Frank Herbert</v>
      </c>
      <c r="C38" s="33" t="str">
        <f>$B$5</f>
        <v>HR Coordinator</v>
      </c>
      <c r="D38" s="33" t="str">
        <f>$B$6</f>
        <v>Human_Resource</v>
      </c>
      <c r="E38" s="33">
        <f>$F$6</f>
        <v>44805</v>
      </c>
      <c r="F38" s="33" t="str">
        <f>$F$3</f>
        <v>Evaluator 1</v>
      </c>
      <c r="G38" s="35">
        <f>$B$7</f>
        <v>45092</v>
      </c>
      <c r="H38" s="36">
        <f>$H$33</f>
        <v>236</v>
      </c>
      <c r="I38" s="37">
        <f>$H$34</f>
        <v>11.8</v>
      </c>
      <c r="J38" s="38">
        <f>$H$35</f>
        <v>58.300000000000004</v>
      </c>
      <c r="K38" s="39">
        <f>$H$36</f>
        <v>2.9150000000000005</v>
      </c>
    </row>
    <row r="39" spans="1:11" ht="15" customHeight="1">
      <c r="A39" s="109"/>
      <c r="B39" s="109"/>
      <c r="C39" s="109"/>
      <c r="D39" s="109"/>
      <c r="E39" s="109"/>
      <c r="F39" s="109"/>
      <c r="G39" s="109"/>
      <c r="H39" s="109"/>
      <c r="I39" s="109"/>
    </row>
    <row r="40" spans="1:11" ht="15.75" hidden="1" customHeight="1">
      <c r="A40" s="109"/>
      <c r="B40" s="109"/>
      <c r="C40" s="109"/>
      <c r="D40" s="109"/>
      <c r="E40" s="109"/>
      <c r="F40" s="109"/>
      <c r="G40" s="109"/>
      <c r="H40" s="109"/>
      <c r="I40" s="109"/>
    </row>
    <row r="41" spans="1:11" ht="18" hidden="1" customHeight="1">
      <c r="A41" s="109"/>
      <c r="B41" s="109"/>
      <c r="C41" s="109"/>
      <c r="D41" s="109"/>
      <c r="E41" s="109"/>
      <c r="F41" s="109"/>
      <c r="G41" s="109"/>
      <c r="H41" s="109"/>
      <c r="I41" s="109"/>
    </row>
    <row r="42" spans="1:11" ht="18.75" customHeight="1">
      <c r="A42" s="109"/>
      <c r="B42" s="109"/>
      <c r="C42" s="109"/>
      <c r="D42" s="109"/>
      <c r="E42" s="109"/>
      <c r="F42" s="109"/>
      <c r="G42" s="109"/>
      <c r="H42" s="109"/>
      <c r="I42" s="109"/>
    </row>
    <row r="43" spans="1:11" ht="43.5" customHeight="1">
      <c r="A43" s="110" t="s">
        <v>56</v>
      </c>
      <c r="B43" s="111"/>
      <c r="C43" s="111"/>
      <c r="D43" s="111"/>
      <c r="E43" s="111"/>
      <c r="F43" s="111"/>
      <c r="G43" s="111"/>
      <c r="H43" s="111"/>
      <c r="I43" s="111"/>
    </row>
    <row r="44" spans="1:11" ht="232.5" customHeight="1">
      <c r="A44" s="40"/>
      <c r="B44" s="40"/>
      <c r="C44" s="40"/>
      <c r="D44" s="40"/>
      <c r="E44" s="40"/>
      <c r="F44" s="40"/>
      <c r="G44" s="40"/>
      <c r="H44" s="40"/>
      <c r="I44" s="40"/>
    </row>
    <row r="45" spans="1:11" ht="340.5" customHeight="1">
      <c r="A45" s="40"/>
      <c r="B45" s="40"/>
      <c r="C45" s="40"/>
      <c r="D45" s="40"/>
      <c r="E45" s="40"/>
      <c r="F45" s="40"/>
      <c r="G45" s="40"/>
      <c r="H45" s="40"/>
      <c r="I45" s="40"/>
    </row>
    <row r="46" spans="1:11" ht="18" customHeight="1">
      <c r="A46" s="41"/>
      <c r="B46" s="41"/>
      <c r="C46" s="41"/>
      <c r="D46" s="41"/>
      <c r="E46" s="42"/>
      <c r="F46" s="41"/>
      <c r="G46" s="41"/>
      <c r="H46" s="41"/>
      <c r="I46" s="41"/>
    </row>
    <row r="47" spans="1:11" ht="18" customHeight="1">
      <c r="A47" s="41"/>
      <c r="B47" s="41"/>
      <c r="C47" s="41"/>
      <c r="D47" s="41"/>
      <c r="E47" s="42"/>
      <c r="F47" s="41"/>
      <c r="G47" s="41"/>
      <c r="H47" s="41"/>
      <c r="I47" s="41"/>
    </row>
    <row r="48" spans="1:11" ht="18" customHeight="1">
      <c r="A48" s="43"/>
      <c r="B48" s="44"/>
      <c r="C48" s="44"/>
      <c r="D48" s="44"/>
      <c r="E48" s="44"/>
      <c r="F48" s="44"/>
      <c r="G48" s="44"/>
      <c r="H48" s="43"/>
      <c r="I48" s="43"/>
    </row>
    <row r="49" spans="1:9" ht="18" customHeight="1">
      <c r="A49" s="43"/>
      <c r="B49" s="44"/>
      <c r="C49" s="45" t="s">
        <v>66</v>
      </c>
      <c r="D49" s="46" t="s">
        <v>60</v>
      </c>
      <c r="E49" s="46" t="s">
        <v>62</v>
      </c>
      <c r="F49" s="46" t="s">
        <v>63</v>
      </c>
      <c r="G49" s="46" t="s">
        <v>67</v>
      </c>
      <c r="H49" s="43"/>
      <c r="I49" s="43"/>
    </row>
    <row r="50" spans="1:9" ht="18" customHeight="1">
      <c r="A50" s="43"/>
      <c r="B50" s="44"/>
      <c r="C50" s="45" t="s">
        <v>57</v>
      </c>
      <c r="D50" s="46">
        <f>SUMPRODUCT(MATCH(D13:D17, {"Extremely Poor","Poor","Average","Good","Excellent"}, 0))</f>
        <v>13</v>
      </c>
      <c r="E50" s="46">
        <f>SUMPRODUCT(MATCH(E13:E17, {"Extremely Poor","Poor","Average","Good","Excellent"}, 0))</f>
        <v>19</v>
      </c>
      <c r="F50" s="46">
        <f>SUMPRODUCT(MATCH(F13:F17, {"Extremely Poor","Poor","Average","Good","Excellent"}, 0))</f>
        <v>10</v>
      </c>
      <c r="G50" s="46">
        <f>SUMPRODUCT(MATCH(G13:G17, {"Extremely Poor","Poor","Average","Good","Excellent"}, 0))</f>
        <v>12</v>
      </c>
      <c r="H50" s="43"/>
      <c r="I50" s="43"/>
    </row>
    <row r="51" spans="1:9" ht="18" customHeight="1">
      <c r="A51" s="43"/>
      <c r="B51" s="44"/>
      <c r="C51" s="45" t="s">
        <v>58</v>
      </c>
      <c r="D51" s="46">
        <f>SUMPRODUCT(MATCH(D18:D22, {"Extremely Poor","Poor","Average","Good","Excellent"}, 0))</f>
        <v>14</v>
      </c>
      <c r="E51" s="46">
        <f>SUMPRODUCT(MATCH(E18:E22, {"Extremely Poor","Poor","Average","Good","Excellent"}, 0))</f>
        <v>19</v>
      </c>
      <c r="F51" s="46">
        <f>SUMPRODUCT(MATCH(F18:F22, {"Extremely Poor","Poor","Average","Good","Excellent"}, 0))</f>
        <v>15</v>
      </c>
      <c r="G51" s="46">
        <f>SUMPRODUCT(MATCH(G18:G22, {"Extremely Poor","Poor","Average","Good","Excellent"}, 0))</f>
        <v>16</v>
      </c>
      <c r="H51" s="43"/>
      <c r="I51" s="43"/>
    </row>
    <row r="52" spans="1:9" ht="18" customHeight="1">
      <c r="A52" s="43"/>
      <c r="B52" s="44"/>
      <c r="C52" s="45" t="s">
        <v>18</v>
      </c>
      <c r="D52" s="46">
        <f>SUMPRODUCT(MATCH(D23:D27, {"Extremely Poor","Poor","Average","Good","Excellent"}, 0))</f>
        <v>14</v>
      </c>
      <c r="E52" s="46">
        <f>SUMPRODUCT(MATCH(E23:E27, {"Extremely Poor","Poor","Average","Good","Excellent"}, 0))</f>
        <v>21</v>
      </c>
      <c r="F52" s="46">
        <f>SUMPRODUCT(MATCH(F23:F27, {"Extremely Poor","Poor","Average","Good","Excellent"}, 0))</f>
        <v>6</v>
      </c>
      <c r="G52" s="46">
        <f>SUMPRODUCT(MATCH(G23:G27, {"Extremely Poor","Poor","Average","Good","Excellent"}, 0))</f>
        <v>17</v>
      </c>
      <c r="H52" s="43"/>
      <c r="I52" s="43"/>
    </row>
    <row r="53" spans="1:9" ht="18" customHeight="1">
      <c r="A53" s="43"/>
      <c r="B53" s="44"/>
      <c r="C53" s="45" t="s">
        <v>59</v>
      </c>
      <c r="D53" s="46">
        <f>SUMPRODUCT(MATCH(D28:D32, {"Extremely Poor","Poor","Average","Good","Excellent"}, 0))</f>
        <v>12</v>
      </c>
      <c r="E53" s="46">
        <f>SUMPRODUCT(MATCH(E28:E32, {"Extremely Poor","Poor","Average","Good","Excellent"}, 0))</f>
        <v>11</v>
      </c>
      <c r="F53" s="46">
        <f>SUMPRODUCT(MATCH(F28:F32, {"Extremely Poor","Poor","Average","Good","Excellent"}, 0))</f>
        <v>17</v>
      </c>
      <c r="G53" s="46">
        <f>SUMPRODUCT(MATCH(G28:G32, {"Extremely Poor","Poor","Average","Good","Excellent"}, 0))</f>
        <v>20</v>
      </c>
      <c r="H53" s="43"/>
      <c r="I53" s="43"/>
    </row>
    <row r="54" spans="1:9" ht="18" customHeight="1">
      <c r="A54" s="43"/>
      <c r="B54" s="44"/>
      <c r="C54" s="43"/>
      <c r="D54" s="44"/>
      <c r="E54" s="44"/>
      <c r="F54" s="44"/>
      <c r="G54" s="44"/>
      <c r="H54" s="43"/>
      <c r="I54" s="43"/>
    </row>
    <row r="55" spans="1:9" ht="18" customHeight="1">
      <c r="A55" s="43"/>
      <c r="B55" s="44"/>
      <c r="C55" s="47" t="s">
        <v>68</v>
      </c>
      <c r="D55" s="47" t="s">
        <v>69</v>
      </c>
      <c r="E55" s="48" t="s">
        <v>78</v>
      </c>
      <c r="F55" s="47" t="s">
        <v>70</v>
      </c>
      <c r="G55" s="47" t="s">
        <v>71</v>
      </c>
      <c r="H55" s="43"/>
      <c r="I55" s="43"/>
    </row>
    <row r="56" spans="1:9" ht="18" customHeight="1">
      <c r="A56" s="43"/>
      <c r="B56" s="44"/>
      <c r="C56" s="47" t="s">
        <v>60</v>
      </c>
      <c r="D56" s="47">
        <f>$D$33</f>
        <v>53</v>
      </c>
      <c r="E56" s="49">
        <f>H33</f>
        <v>236</v>
      </c>
      <c r="F56" s="47" t="s">
        <v>57</v>
      </c>
      <c r="G56" s="47">
        <f>SUM($H$13:$H$17)</f>
        <v>54</v>
      </c>
      <c r="H56" s="43"/>
      <c r="I56" s="43"/>
    </row>
    <row r="57" spans="1:9" ht="18" customHeight="1">
      <c r="A57" s="43"/>
      <c r="B57" s="44"/>
      <c r="C57" s="47" t="s">
        <v>62</v>
      </c>
      <c r="D57" s="47">
        <f>$E$33</f>
        <v>70</v>
      </c>
      <c r="E57" s="45" t="s">
        <v>84</v>
      </c>
      <c r="F57" s="47" t="s">
        <v>58</v>
      </c>
      <c r="G57" s="47">
        <f>SUM($H$18:$H$22)</f>
        <v>64</v>
      </c>
      <c r="H57" s="44"/>
      <c r="I57" s="43"/>
    </row>
    <row r="58" spans="1:9" ht="18.75" customHeight="1">
      <c r="A58" s="43"/>
      <c r="B58" s="44"/>
      <c r="C58" s="47" t="s">
        <v>63</v>
      </c>
      <c r="D58" s="47">
        <f>$F$33</f>
        <v>48</v>
      </c>
      <c r="E58" s="50">
        <f>H34</f>
        <v>11.8</v>
      </c>
      <c r="F58" s="47" t="s">
        <v>18</v>
      </c>
      <c r="G58" s="47">
        <f>SUM($H$23:$H$27)</f>
        <v>58</v>
      </c>
      <c r="H58" s="43"/>
      <c r="I58" s="43"/>
    </row>
    <row r="59" spans="1:9" ht="18" customHeight="1">
      <c r="A59" s="43"/>
      <c r="B59" s="44"/>
      <c r="C59" s="47" t="s">
        <v>64</v>
      </c>
      <c r="D59" s="47">
        <f>$G$33</f>
        <v>65</v>
      </c>
      <c r="E59" s="45" t="s">
        <v>65</v>
      </c>
      <c r="F59" s="47" t="s">
        <v>59</v>
      </c>
      <c r="G59" s="47">
        <f>SUM($H$28:$H$32)</f>
        <v>60</v>
      </c>
      <c r="H59" s="43"/>
      <c r="I59" s="43"/>
    </row>
    <row r="60" spans="1:9" ht="18" customHeight="1">
      <c r="A60" s="43"/>
      <c r="B60" s="44"/>
      <c r="C60" s="44"/>
      <c r="D60" s="44"/>
      <c r="E60" s="50">
        <f>H35</f>
        <v>58.300000000000004</v>
      </c>
      <c r="F60" s="44"/>
      <c r="G60" s="44"/>
      <c r="H60" s="43"/>
      <c r="I60" s="43"/>
    </row>
    <row r="61" spans="1:9" ht="18" customHeight="1">
      <c r="A61" s="43"/>
      <c r="B61" s="44"/>
      <c r="C61" s="44"/>
      <c r="D61" s="44"/>
      <c r="E61" s="45" t="s">
        <v>81</v>
      </c>
      <c r="F61" s="44"/>
      <c r="G61" s="44"/>
      <c r="H61" s="43"/>
      <c r="I61" s="43"/>
    </row>
    <row r="62" spans="1:9" ht="18" customHeight="1">
      <c r="A62" s="43"/>
      <c r="B62" s="44"/>
      <c r="C62" s="44"/>
      <c r="D62" s="44"/>
      <c r="E62" s="50">
        <f>H36</f>
        <v>2.9150000000000005</v>
      </c>
      <c r="F62" s="44"/>
      <c r="G62" s="44"/>
      <c r="H62" s="43"/>
      <c r="I62" s="43"/>
    </row>
    <row r="63" spans="1:9" ht="18" customHeight="1">
      <c r="A63" s="43"/>
      <c r="B63" s="44"/>
      <c r="C63" s="44"/>
      <c r="D63" s="44"/>
      <c r="E63" s="44"/>
      <c r="F63" s="44"/>
      <c r="G63" s="44"/>
      <c r="H63" s="43"/>
      <c r="I63" s="43"/>
    </row>
    <row r="64" spans="1:9" ht="18" customHeight="1">
      <c r="A64" s="51"/>
      <c r="B64" s="42"/>
      <c r="C64" s="42"/>
      <c r="D64" s="42"/>
      <c r="E64" s="42"/>
      <c r="F64" s="42"/>
      <c r="G64" s="42"/>
      <c r="H64" s="51"/>
      <c r="I64" s="51"/>
    </row>
    <row r="65" spans="1:10" ht="18" customHeight="1">
      <c r="A65" s="51"/>
      <c r="B65" s="42"/>
      <c r="C65" s="42"/>
      <c r="D65" s="42"/>
      <c r="E65" s="42"/>
      <c r="F65" s="42"/>
      <c r="G65" s="42"/>
      <c r="H65" s="51"/>
      <c r="I65" s="51"/>
    </row>
    <row r="66" spans="1:10" ht="18" customHeight="1">
      <c r="A66" s="52"/>
      <c r="B66" s="53"/>
      <c r="C66" s="54"/>
      <c r="D66" s="54"/>
      <c r="E66" s="54"/>
      <c r="F66" s="54"/>
      <c r="G66" s="54"/>
      <c r="H66" s="52"/>
      <c r="I66" s="52"/>
    </row>
    <row r="67" spans="1:10" ht="18" customHeight="1">
      <c r="A67" s="52"/>
      <c r="B67" s="55"/>
      <c r="C67" s="54"/>
      <c r="D67" s="54"/>
      <c r="E67" s="54"/>
      <c r="F67" s="54"/>
      <c r="G67" s="56"/>
      <c r="H67" s="52"/>
      <c r="I67" s="52"/>
      <c r="J67" s="38">
        <f>H35</f>
        <v>58.300000000000004</v>
      </c>
    </row>
    <row r="68" spans="1:10" ht="18" customHeight="1">
      <c r="A68" s="52"/>
      <c r="B68" s="54"/>
      <c r="C68" s="54"/>
      <c r="D68" s="54"/>
      <c r="E68" s="54"/>
      <c r="F68" s="54"/>
      <c r="G68" s="54"/>
      <c r="H68" s="52"/>
      <c r="I68" s="52"/>
    </row>
    <row r="69" spans="1:10" ht="18" customHeight="1">
      <c r="A69" s="52"/>
      <c r="B69" s="57"/>
      <c r="C69" s="54"/>
      <c r="D69" s="54"/>
      <c r="E69" s="54"/>
      <c r="F69" s="54"/>
      <c r="G69" s="54"/>
      <c r="H69" s="52"/>
      <c r="I69" s="52"/>
    </row>
    <row r="70" spans="1:10" ht="18" customHeight="1">
      <c r="C70" s="58"/>
    </row>
    <row r="75" spans="1:10" ht="18" customHeight="1">
      <c r="C75" s="59"/>
    </row>
  </sheetData>
  <mergeCells count="47">
    <mergeCell ref="B7:I7"/>
    <mergeCell ref="B29:C29"/>
    <mergeCell ref="B30:C30"/>
    <mergeCell ref="B31:C31"/>
    <mergeCell ref="B32:C32"/>
    <mergeCell ref="A8:I8"/>
    <mergeCell ref="A10:I10"/>
    <mergeCell ref="A11:C12"/>
    <mergeCell ref="D11:I11"/>
    <mergeCell ref="A13:A17"/>
    <mergeCell ref="B13:C13"/>
    <mergeCell ref="B14:C14"/>
    <mergeCell ref="B15:C15"/>
    <mergeCell ref="B16:C16"/>
    <mergeCell ref="B17:C17"/>
    <mergeCell ref="A23:A27"/>
    <mergeCell ref="B23:C23"/>
    <mergeCell ref="B24:C24"/>
    <mergeCell ref="B25:C25"/>
    <mergeCell ref="B26:C26"/>
    <mergeCell ref="B27:C27"/>
    <mergeCell ref="B5:D5"/>
    <mergeCell ref="F5:I5"/>
    <mergeCell ref="B6:D6"/>
    <mergeCell ref="F6:I6"/>
    <mergeCell ref="A1:I1"/>
    <mergeCell ref="B3:D3"/>
    <mergeCell ref="F3:I3"/>
    <mergeCell ref="B4:D4"/>
    <mergeCell ref="F4:I4"/>
    <mergeCell ref="A2:I2"/>
    <mergeCell ref="A34:C34"/>
    <mergeCell ref="A36:C36"/>
    <mergeCell ref="A39:I42"/>
    <mergeCell ref="A43:I43"/>
    <mergeCell ref="A9:I9"/>
    <mergeCell ref="A18:A22"/>
    <mergeCell ref="B18:C18"/>
    <mergeCell ref="B19:C19"/>
    <mergeCell ref="B20:C20"/>
    <mergeCell ref="B21:C21"/>
    <mergeCell ref="B22:C22"/>
    <mergeCell ref="A35:C35"/>
    <mergeCell ref="A33:C33"/>
    <mergeCell ref="A37:C37"/>
    <mergeCell ref="A28:A32"/>
    <mergeCell ref="B28:C28"/>
  </mergeCells>
  <phoneticPr fontId="16" type="noConversion"/>
  <dataValidations count="4">
    <dataValidation type="list" allowBlank="1" showInputMessage="1" showErrorMessage="1" sqref="D13:G32" xr:uid="{783EF7F5-C5E5-491E-9078-858AE2DB2D9B}">
      <formula1>score</formula1>
    </dataValidation>
    <dataValidation type="custom" operator="equal" allowBlank="1" showInputMessage="1" showErrorMessage="1" sqref="B4:D4" xr:uid="{9A5CA9D3-0136-49E8-BD4B-8B7D759B98F7}">
      <formula1>AND(ISNUMBER(B4), LEN(TEXT(B4, "0"))=6)</formula1>
    </dataValidation>
    <dataValidation type="date" operator="greaterThan" allowBlank="1" showInputMessage="1" showErrorMessage="1" errorTitle="Invalid Date" error="Must be greater than 6/1/2023. As it is the evaluation period." sqref="B7:I7" xr:uid="{84935DD9-F362-414C-B7EA-46019D2825B3}">
      <formula1>45078</formula1>
    </dataValidation>
    <dataValidation type="date" operator="lessThan" allowBlank="1" showInputMessage="1" showErrorMessage="1" sqref="F6:I6" xr:uid="{608196DC-A61C-4D93-BD25-E312F8936B3A}">
      <formula1>44927</formula1>
    </dataValidation>
  </dataValidations>
  <printOptions horizontalCentered="1" verticalCentered="1"/>
  <pageMargins left="0.39370078740157499" right="0.39370078740157499" top="0.39370078740157499" bottom="0.39370078740157499" header="0" footer="0"/>
  <pageSetup paperSize="9" scale="51" fitToHeight="0" orientation="landscape" r:id="rId1"/>
  <rowBreaks count="1" manualBreakCount="1">
    <brk id="38" max="16383" man="1"/>
  </rowBreaks>
  <ignoredErrors>
    <ignoredError sqref="D35:G35" formula="1"/>
  </ignoredErrors>
  <drawing r:id="rId2"/>
  <legacyDrawing r:id="rId3"/>
  <controls>
    <mc:AlternateContent xmlns:mc="http://schemas.openxmlformats.org/markup-compatibility/2006">
      <mc:Choice Requires="x14">
        <control shapeId="3079" r:id="rId4" name="btnsumbit">
          <controlPr defaultSize="0" print="0" autoFill="0" autoLine="0" r:id="rId5">
            <anchor moveWithCells="1">
              <from>
                <xdr:col>0</xdr:col>
                <xdr:colOff>1419225</xdr:colOff>
                <xdr:row>54</xdr:row>
                <xdr:rowOff>123825</xdr:rowOff>
              </from>
              <to>
                <xdr:col>1</xdr:col>
                <xdr:colOff>1219200</xdr:colOff>
                <xdr:row>57</xdr:row>
                <xdr:rowOff>47625</xdr:rowOff>
              </to>
            </anchor>
          </controlPr>
        </control>
      </mc:Choice>
      <mc:Fallback>
        <control shapeId="3079" r:id="rId4" name="btnsumbit"/>
      </mc:Fallback>
    </mc:AlternateContent>
    <mc:AlternateContent xmlns:mc="http://schemas.openxmlformats.org/markup-compatibility/2006">
      <mc:Choice Requires="x14">
        <control shapeId="3073" r:id="rId6" name="btngenerate">
          <controlPr defaultSize="0" print="0" autoLine="0" r:id="rId7">
            <anchor moveWithCells="1">
              <from>
                <xdr:col>8</xdr:col>
                <xdr:colOff>1257300</xdr:colOff>
                <xdr:row>6</xdr:row>
                <xdr:rowOff>142875</xdr:rowOff>
              </from>
              <to>
                <xdr:col>8</xdr:col>
                <xdr:colOff>2181225</xdr:colOff>
                <xdr:row>6</xdr:row>
                <xdr:rowOff>428625</xdr:rowOff>
              </to>
            </anchor>
          </controlPr>
        </control>
      </mc:Choice>
      <mc:Fallback>
        <control shapeId="3073" r:id="rId6" name="btngenerate"/>
      </mc:Fallback>
    </mc:AlternateContent>
    <mc:AlternateContent xmlns:mc="http://schemas.openxmlformats.org/markup-compatibility/2006">
      <mc:Choice Requires="x14">
        <control shapeId="3075" r:id="rId8" name="btnsave">
          <controlPr defaultSize="0" print="0" autoFill="0" autoLine="0" r:id="rId9">
            <anchor moveWithCells="1">
              <from>
                <xdr:col>0</xdr:col>
                <xdr:colOff>1409700</xdr:colOff>
                <xdr:row>50</xdr:row>
                <xdr:rowOff>114300</xdr:rowOff>
              </from>
              <to>
                <xdr:col>1</xdr:col>
                <xdr:colOff>1209675</xdr:colOff>
                <xdr:row>53</xdr:row>
                <xdr:rowOff>28575</xdr:rowOff>
              </to>
            </anchor>
          </controlPr>
        </control>
      </mc:Choice>
      <mc:Fallback>
        <control shapeId="3075" r:id="rId8" name="btnsave"/>
      </mc:Fallback>
    </mc:AlternateContent>
  </controls>
  <tableParts count="7"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3" operator="equal" id="{2A6CCB0B-214E-4DDF-819C-AF2077DAE075}">
            <xm:f>Tables!$B$6</xm:f>
            <x14:dxf>
              <font>
                <color rgb="FFC00000"/>
              </font>
            </x14:dxf>
          </x14:cfRule>
          <x14:cfRule type="cellIs" priority="14" operator="equal" id="{06BBA0AB-26F2-4187-A062-8BB7F992DE5D}">
            <xm:f>Tables!$B$5</xm:f>
            <x14:dxf>
              <font>
                <color rgb="FFFF0000"/>
              </font>
            </x14:dxf>
          </x14:cfRule>
          <x14:cfRule type="cellIs" priority="15" operator="equal" id="{17D9F92B-CCA6-4B45-9AD2-53BA1ABFB9F4}">
            <xm:f>Tables!$B$4</xm:f>
            <x14:dxf>
              <font>
                <color theme="5"/>
              </font>
            </x14:dxf>
          </x14:cfRule>
          <x14:cfRule type="cellIs" priority="16" operator="equal" id="{11ED35A5-1EF8-44D7-9CC7-19E87378287C}">
            <xm:f>Tables!$B$3</xm:f>
            <x14:dxf>
              <font>
                <color theme="4"/>
              </font>
            </x14:dxf>
          </x14:cfRule>
          <x14:cfRule type="cellIs" priority="17" operator="equal" id="{1FE8B552-F3A1-4A9D-877D-5E59FF9890FD}">
            <xm:f>Tables!$B$2</xm:f>
            <x14:dxf>
              <font>
                <color theme="9" tint="-0.24994659260841701"/>
              </font>
            </x14:dxf>
          </x14:cfRule>
          <xm:sqref>D35:G36 D13:G32</xm:sqref>
        </x14:conditionalFormatting>
        <x14:conditionalFormatting xmlns:xm="http://schemas.microsoft.com/office/excel/2006/main">
          <x14:cfRule type="cellIs" priority="8" operator="equal" id="{EB47718A-B997-4DA2-A828-E16243F36D1B}">
            <xm:f>Tables!$B$6</xm:f>
            <x14:dxf>
              <font>
                <color rgb="FFC00000"/>
              </font>
            </x14:dxf>
          </x14:cfRule>
          <x14:cfRule type="cellIs" priority="9" operator="equal" id="{45B962E6-6B25-46BC-8636-0D4DA5949A1F}">
            <xm:f>Tables!$B$5</xm:f>
            <x14:dxf>
              <font>
                <color rgb="FFFF0000"/>
              </font>
            </x14:dxf>
          </x14:cfRule>
          <x14:cfRule type="cellIs" priority="10" operator="equal" id="{591F1E73-8D0E-44C3-94BD-1CE88A6FF62F}">
            <xm:f>Tables!$B$4</xm:f>
            <x14:dxf>
              <font>
                <color theme="5"/>
              </font>
            </x14:dxf>
          </x14:cfRule>
          <x14:cfRule type="cellIs" priority="11" operator="equal" id="{4C9A4D36-3E2E-4BDC-AF66-14C1540EA8E7}">
            <xm:f>Tables!$B$3</xm:f>
            <x14:dxf>
              <font>
                <color theme="4"/>
              </font>
            </x14:dxf>
          </x14:cfRule>
          <x14:cfRule type="cellIs" priority="12" stopIfTrue="1" operator="equal" id="{3327F371-7CA8-4BB3-A962-981A89D041AE}">
            <xm:f>Tables!$B$2</xm:f>
            <x14:dxf>
              <font>
                <color theme="9" tint="-0.24994659260841701"/>
              </font>
            </x14:dxf>
          </x14:cfRule>
          <xm:sqref>D33:G33 D34:I34</xm:sqref>
        </x14:conditionalFormatting>
        <x14:conditionalFormatting xmlns:xm="http://schemas.microsoft.com/office/excel/2006/main">
          <x14:cfRule type="cellIs" priority="1" operator="equal" id="{43BAAE60-460E-4C95-9540-264A95EC451C}">
            <xm:f>Tables!$F$2</xm:f>
            <x14:dxf>
              <fill>
                <patternFill>
                  <bgColor theme="0" tint="-0.34998626667073579"/>
                </patternFill>
              </fill>
            </x14:dxf>
          </x14:cfRule>
          <x14:cfRule type="cellIs" priority="2" operator="equal" id="{707AE0F3-8E0A-44D8-8732-F5C2E7901BFE}">
            <xm:f>Tables!$F$3</xm:f>
            <x14:dxf>
              <fill>
                <patternFill>
                  <bgColor rgb="FFFF8F8F"/>
                </patternFill>
              </fill>
            </x14:dxf>
          </x14:cfRule>
          <x14:cfRule type="cellIs" priority="3" operator="equal" id="{6B8CB051-B36F-453D-8C06-891FECE97361}">
            <xm:f>Tables!$F$4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4" operator="equal" id="{283610C0-406D-4FFE-897B-69A8E531F295}">
            <xm:f>Tables!$F$5</xm:f>
            <x14:dxf>
              <fill>
                <patternFill>
                  <bgColor theme="8" tint="0.59996337778862885"/>
                </patternFill>
              </fill>
            </x14:dxf>
          </x14:cfRule>
          <x14:cfRule type="cellIs" priority="5" operator="equal" id="{FB70D35A-5625-4224-886F-38524E82A15D}">
            <xm:f>Tables!$F$7</xm:f>
            <x14:dxf>
              <fill>
                <patternFill>
                  <bgColor theme="9" tint="0.39994506668294322"/>
                </patternFill>
              </fill>
            </x14:dxf>
          </x14:cfRule>
          <xm:sqref>I13:I32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626A1-E6A4-4D5B-B39E-0D68A08A25DB}">
  <sheetPr codeName="Sheet1"/>
  <dimension ref="A1:K155"/>
  <sheetViews>
    <sheetView zoomScale="115" zoomScaleNormal="115" workbookViewId="0">
      <selection activeCell="A4" sqref="A4"/>
    </sheetView>
  </sheetViews>
  <sheetFormatPr defaultColWidth="15.7109375" defaultRowHeight="15"/>
  <cols>
    <col min="1" max="1" width="18.140625" customWidth="1"/>
    <col min="2" max="2" width="28.5703125" customWidth="1"/>
    <col min="3" max="3" width="24.42578125" customWidth="1"/>
    <col min="4" max="4" width="19" customWidth="1"/>
    <col min="5" max="5" width="20.42578125" customWidth="1"/>
    <col min="6" max="6" width="21" customWidth="1"/>
    <col min="7" max="7" width="20.85546875" customWidth="1"/>
    <col min="8" max="8" width="20.140625" customWidth="1"/>
    <col min="9" max="9" width="20.5703125" customWidth="1"/>
    <col min="10" max="10" width="23.28515625" customWidth="1"/>
    <col min="11" max="11" width="20.85546875" style="97" customWidth="1"/>
  </cols>
  <sheetData>
    <row r="1" spans="1:11" ht="33" customHeight="1">
      <c r="A1" s="149" t="s">
        <v>85</v>
      </c>
      <c r="B1" s="150"/>
      <c r="C1" s="150"/>
      <c r="D1" s="150"/>
      <c r="E1" s="150"/>
      <c r="F1" s="150"/>
      <c r="G1" s="150"/>
      <c r="H1" s="150"/>
      <c r="I1" s="150"/>
      <c r="J1" s="150"/>
      <c r="K1" s="150"/>
    </row>
    <row r="2" spans="1:11" ht="19.5" customHeight="1">
      <c r="A2" s="151" t="s">
        <v>86</v>
      </c>
      <c r="B2" s="152"/>
      <c r="C2" s="152"/>
      <c r="D2" s="152"/>
      <c r="E2" s="152"/>
      <c r="F2" s="152"/>
      <c r="G2" s="152"/>
      <c r="H2" s="152"/>
      <c r="I2" s="152"/>
      <c r="J2" s="152"/>
      <c r="K2" s="152"/>
    </row>
    <row r="3" spans="1:11" ht="24" customHeight="1">
      <c r="A3" s="60" t="s">
        <v>72</v>
      </c>
      <c r="B3" s="60" t="s">
        <v>73</v>
      </c>
      <c r="C3" s="61" t="s">
        <v>82</v>
      </c>
      <c r="D3" s="60" t="s">
        <v>74</v>
      </c>
      <c r="E3" s="60" t="s">
        <v>76</v>
      </c>
      <c r="F3" s="60" t="s">
        <v>75</v>
      </c>
      <c r="G3" s="60" t="s">
        <v>77</v>
      </c>
      <c r="H3" s="62" t="s">
        <v>78</v>
      </c>
      <c r="I3" s="62" t="s">
        <v>84</v>
      </c>
      <c r="J3" s="62" t="s">
        <v>65</v>
      </c>
      <c r="K3" s="93" t="s">
        <v>81</v>
      </c>
    </row>
    <row r="4" spans="1:11">
      <c r="A4" s="89">
        <v>100031</v>
      </c>
      <c r="B4" s="65" t="s">
        <v>164</v>
      </c>
      <c r="C4" s="66" t="s">
        <v>147</v>
      </c>
      <c r="D4" s="65" t="s">
        <v>109</v>
      </c>
      <c r="E4" s="88">
        <v>44805</v>
      </c>
      <c r="F4" s="65" t="s">
        <v>87</v>
      </c>
      <c r="G4" s="88">
        <v>45092</v>
      </c>
      <c r="H4" s="67">
        <v>236</v>
      </c>
      <c r="I4" s="67">
        <v>11.8</v>
      </c>
      <c r="J4" s="100">
        <v>58.300000000000004</v>
      </c>
      <c r="K4" s="94">
        <v>2.9150000000000005</v>
      </c>
    </row>
    <row r="5" spans="1:11">
      <c r="A5" s="89">
        <v>100030</v>
      </c>
      <c r="B5" s="65" t="s">
        <v>162</v>
      </c>
      <c r="C5" s="66" t="s">
        <v>163</v>
      </c>
      <c r="D5" s="65" t="s">
        <v>99</v>
      </c>
      <c r="E5" s="88">
        <v>36325</v>
      </c>
      <c r="F5" s="65" t="s">
        <v>87</v>
      </c>
      <c r="G5" s="88">
        <v>45092</v>
      </c>
      <c r="H5" s="67">
        <v>244</v>
      </c>
      <c r="I5" s="67">
        <v>12.200000000000001</v>
      </c>
      <c r="J5" s="100">
        <v>61.8</v>
      </c>
      <c r="K5" s="94">
        <v>3.0900000000000003</v>
      </c>
    </row>
    <row r="6" spans="1:11">
      <c r="A6" s="89">
        <v>100029</v>
      </c>
      <c r="B6" s="65" t="s">
        <v>161</v>
      </c>
      <c r="C6" s="66" t="s">
        <v>102</v>
      </c>
      <c r="D6" s="65" t="s">
        <v>98</v>
      </c>
      <c r="E6" s="88">
        <v>36262</v>
      </c>
      <c r="F6" s="65" t="s">
        <v>87</v>
      </c>
      <c r="G6" s="88">
        <v>45092</v>
      </c>
      <c r="H6" s="67">
        <v>276</v>
      </c>
      <c r="I6" s="67">
        <v>13.799999999999999</v>
      </c>
      <c r="J6" s="100">
        <v>72.099999999999994</v>
      </c>
      <c r="K6" s="94">
        <v>3.6050000000000009</v>
      </c>
    </row>
    <row r="7" spans="1:11">
      <c r="A7" s="89">
        <v>100028</v>
      </c>
      <c r="B7" s="65" t="s">
        <v>160</v>
      </c>
      <c r="C7" s="66" t="s">
        <v>105</v>
      </c>
      <c r="D7" s="65" t="s">
        <v>106</v>
      </c>
      <c r="E7" s="88">
        <v>36249</v>
      </c>
      <c r="F7" s="65" t="s">
        <v>87</v>
      </c>
      <c r="G7" s="88">
        <v>45092</v>
      </c>
      <c r="H7" s="67">
        <v>271</v>
      </c>
      <c r="I7" s="67">
        <v>13.55</v>
      </c>
      <c r="J7" s="100">
        <v>68.399999999999991</v>
      </c>
      <c r="K7" s="94">
        <v>3.42</v>
      </c>
    </row>
    <row r="8" spans="1:11">
      <c r="A8" s="89">
        <v>100027</v>
      </c>
      <c r="B8" s="65" t="s">
        <v>158</v>
      </c>
      <c r="C8" s="66" t="s">
        <v>136</v>
      </c>
      <c r="D8" s="65" t="s">
        <v>90</v>
      </c>
      <c r="E8" s="88">
        <v>35872</v>
      </c>
      <c r="F8" s="65" t="s">
        <v>87</v>
      </c>
      <c r="G8" s="88">
        <v>45092</v>
      </c>
      <c r="H8" s="67">
        <v>265</v>
      </c>
      <c r="I8" s="67">
        <v>13.25</v>
      </c>
      <c r="J8" s="100">
        <v>67.7</v>
      </c>
      <c r="K8" s="94">
        <v>3.3850000000000002</v>
      </c>
    </row>
    <row r="9" spans="1:11">
      <c r="A9" s="89">
        <v>100026</v>
      </c>
      <c r="B9" s="65" t="s">
        <v>156</v>
      </c>
      <c r="C9" s="66" t="s">
        <v>155</v>
      </c>
      <c r="D9" s="65" t="s">
        <v>96</v>
      </c>
      <c r="E9" s="88">
        <v>35838</v>
      </c>
      <c r="F9" s="65" t="s">
        <v>87</v>
      </c>
      <c r="G9" s="88">
        <v>45092</v>
      </c>
      <c r="H9" s="67">
        <v>263</v>
      </c>
      <c r="I9" s="67">
        <v>13.15</v>
      </c>
      <c r="J9" s="68">
        <v>65.3</v>
      </c>
      <c r="K9" s="94">
        <v>3.26</v>
      </c>
    </row>
    <row r="10" spans="1:11">
      <c r="A10" s="89">
        <v>100025</v>
      </c>
      <c r="B10" s="65" t="s">
        <v>154</v>
      </c>
      <c r="C10" s="66" t="s">
        <v>155</v>
      </c>
      <c r="D10" s="65" t="s">
        <v>96</v>
      </c>
      <c r="E10" s="88">
        <v>35838</v>
      </c>
      <c r="F10" s="65" t="s">
        <v>87</v>
      </c>
      <c r="G10" s="88">
        <v>45092</v>
      </c>
      <c r="H10" s="67">
        <v>245</v>
      </c>
      <c r="I10" s="67">
        <v>12.25</v>
      </c>
      <c r="J10" s="68">
        <v>62.2</v>
      </c>
      <c r="K10" s="94">
        <v>3.11</v>
      </c>
    </row>
    <row r="11" spans="1:11">
      <c r="A11" s="89">
        <v>100024</v>
      </c>
      <c r="B11" s="65" t="s">
        <v>152</v>
      </c>
      <c r="C11" s="66" t="s">
        <v>153</v>
      </c>
      <c r="D11" s="65" t="s">
        <v>99</v>
      </c>
      <c r="E11" s="88">
        <v>35821</v>
      </c>
      <c r="F11" s="65" t="s">
        <v>87</v>
      </c>
      <c r="G11" s="88">
        <v>45092</v>
      </c>
      <c r="H11" s="67">
        <v>243</v>
      </c>
      <c r="I11" s="67">
        <v>12.15</v>
      </c>
      <c r="J11" s="68">
        <v>59.800000000000004</v>
      </c>
      <c r="K11" s="94">
        <v>2.9899999999999998</v>
      </c>
    </row>
    <row r="12" spans="1:11">
      <c r="A12" s="89">
        <v>100023</v>
      </c>
      <c r="B12" s="65" t="s">
        <v>150</v>
      </c>
      <c r="C12" s="66" t="s">
        <v>151</v>
      </c>
      <c r="D12" s="65" t="s">
        <v>98</v>
      </c>
      <c r="E12" s="88">
        <v>35817</v>
      </c>
      <c r="F12" s="65" t="s">
        <v>87</v>
      </c>
      <c r="G12" s="88">
        <v>45092</v>
      </c>
      <c r="H12" s="67">
        <v>247</v>
      </c>
      <c r="I12" s="67">
        <v>12.349999999999998</v>
      </c>
      <c r="J12" s="68">
        <v>60.4</v>
      </c>
      <c r="K12" s="94">
        <v>3.02</v>
      </c>
    </row>
    <row r="13" spans="1:11">
      <c r="A13" s="89">
        <v>100022</v>
      </c>
      <c r="B13" s="65" t="s">
        <v>148</v>
      </c>
      <c r="C13" s="66" t="s">
        <v>149</v>
      </c>
      <c r="D13" s="65" t="s">
        <v>90</v>
      </c>
      <c r="E13" s="88">
        <v>35816</v>
      </c>
      <c r="F13" s="65" t="s">
        <v>87</v>
      </c>
      <c r="G13" s="88">
        <v>45092</v>
      </c>
      <c r="H13" s="67">
        <v>263</v>
      </c>
      <c r="I13" s="67">
        <v>13.15</v>
      </c>
      <c r="J13" s="68">
        <v>65.600000000000009</v>
      </c>
      <c r="K13" s="94">
        <v>3.2800000000000002</v>
      </c>
    </row>
    <row r="14" spans="1:11">
      <c r="A14" s="89">
        <v>100021</v>
      </c>
      <c r="B14" s="65" t="s">
        <v>146</v>
      </c>
      <c r="C14" s="66" t="s">
        <v>147</v>
      </c>
      <c r="D14" s="65" t="s">
        <v>109</v>
      </c>
      <c r="E14" s="88">
        <v>43499</v>
      </c>
      <c r="F14" s="65" t="s">
        <v>87</v>
      </c>
      <c r="G14" s="88">
        <v>45092</v>
      </c>
      <c r="H14" s="67">
        <v>228</v>
      </c>
      <c r="I14" s="67">
        <v>11.4</v>
      </c>
      <c r="J14" s="68">
        <v>55.7</v>
      </c>
      <c r="K14" s="94">
        <v>2.7850000000000001</v>
      </c>
    </row>
    <row r="15" spans="1:11">
      <c r="A15" s="89">
        <v>100020</v>
      </c>
      <c r="B15" s="65" t="s">
        <v>145</v>
      </c>
      <c r="C15" s="66" t="s">
        <v>91</v>
      </c>
      <c r="D15" s="65" t="s">
        <v>90</v>
      </c>
      <c r="E15" s="88">
        <v>37510</v>
      </c>
      <c r="F15" s="65" t="s">
        <v>87</v>
      </c>
      <c r="G15" s="88">
        <v>45236</v>
      </c>
      <c r="H15" s="67">
        <v>237</v>
      </c>
      <c r="I15" s="67">
        <v>11.85</v>
      </c>
      <c r="J15" s="68">
        <v>59.70000000000001</v>
      </c>
      <c r="K15" s="94">
        <v>2.9850000000000003</v>
      </c>
    </row>
    <row r="16" spans="1:11">
      <c r="A16" s="89">
        <v>100019</v>
      </c>
      <c r="B16" s="65" t="s">
        <v>141</v>
      </c>
      <c r="C16" s="66" t="s">
        <v>142</v>
      </c>
      <c r="D16" s="65" t="s">
        <v>106</v>
      </c>
      <c r="E16" s="88">
        <v>30339</v>
      </c>
      <c r="F16" s="65" t="s">
        <v>87</v>
      </c>
      <c r="G16" s="88">
        <v>45144</v>
      </c>
      <c r="H16" s="67">
        <v>232</v>
      </c>
      <c r="I16" s="67">
        <v>11.6</v>
      </c>
      <c r="J16" s="68">
        <v>55.600000000000009</v>
      </c>
      <c r="K16" s="94">
        <v>2.7800000000000002</v>
      </c>
    </row>
    <row r="17" spans="1:11">
      <c r="A17" s="89">
        <v>100018</v>
      </c>
      <c r="B17" s="65" t="s">
        <v>143</v>
      </c>
      <c r="C17" s="66" t="s">
        <v>144</v>
      </c>
      <c r="D17" s="65" t="s">
        <v>98</v>
      </c>
      <c r="E17" s="88">
        <v>39996</v>
      </c>
      <c r="F17" s="65" t="s">
        <v>87</v>
      </c>
      <c r="G17" s="88">
        <v>45144</v>
      </c>
      <c r="H17" s="67">
        <v>256</v>
      </c>
      <c r="I17" s="67">
        <v>12.8</v>
      </c>
      <c r="J17" s="68">
        <v>66.400000000000006</v>
      </c>
      <c r="K17" s="94">
        <v>3.3200000000000003</v>
      </c>
    </row>
    <row r="18" spans="1:11">
      <c r="A18" s="89">
        <v>100017</v>
      </c>
      <c r="B18" s="65" t="s">
        <v>139</v>
      </c>
      <c r="C18" s="66" t="s">
        <v>140</v>
      </c>
      <c r="D18" s="65" t="s">
        <v>100</v>
      </c>
      <c r="E18" s="88">
        <v>40413</v>
      </c>
      <c r="F18" s="65" t="s">
        <v>87</v>
      </c>
      <c r="G18" s="88">
        <v>45113</v>
      </c>
      <c r="H18" s="67">
        <v>250</v>
      </c>
      <c r="I18" s="67">
        <v>12.5</v>
      </c>
      <c r="J18" s="68">
        <v>64.300000000000011</v>
      </c>
      <c r="K18" s="94">
        <v>3.2150000000000003</v>
      </c>
    </row>
    <row r="19" spans="1:11">
      <c r="A19" s="89">
        <v>100016</v>
      </c>
      <c r="B19" s="65" t="s">
        <v>138</v>
      </c>
      <c r="C19" s="66" t="s">
        <v>128</v>
      </c>
      <c r="D19" s="65" t="s">
        <v>94</v>
      </c>
      <c r="E19" s="88">
        <v>44378</v>
      </c>
      <c r="F19" s="65" t="s">
        <v>87</v>
      </c>
      <c r="G19" s="88">
        <v>45113</v>
      </c>
      <c r="H19" s="67">
        <v>239</v>
      </c>
      <c r="I19" s="67">
        <v>11.950000000000001</v>
      </c>
      <c r="J19" s="68">
        <v>59.599999999999994</v>
      </c>
      <c r="K19" s="94">
        <v>2.98</v>
      </c>
    </row>
    <row r="20" spans="1:11">
      <c r="A20" s="89">
        <v>100015</v>
      </c>
      <c r="B20" s="65" t="s">
        <v>135</v>
      </c>
      <c r="C20" s="66" t="s">
        <v>136</v>
      </c>
      <c r="D20" s="65" t="s">
        <v>90</v>
      </c>
      <c r="E20" s="88">
        <v>40596</v>
      </c>
      <c r="F20" s="65" t="s">
        <v>87</v>
      </c>
      <c r="G20" s="88">
        <v>45113</v>
      </c>
      <c r="H20" s="67">
        <v>249</v>
      </c>
      <c r="I20" s="67">
        <v>12.45</v>
      </c>
      <c r="J20" s="68">
        <v>61.900000000000006</v>
      </c>
      <c r="K20" s="94">
        <v>3.0950000000000002</v>
      </c>
    </row>
    <row r="21" spans="1:11">
      <c r="A21" s="89">
        <v>100014</v>
      </c>
      <c r="B21" s="65" t="s">
        <v>131</v>
      </c>
      <c r="C21" s="66" t="s">
        <v>130</v>
      </c>
      <c r="D21" s="87" t="s">
        <v>100</v>
      </c>
      <c r="E21" s="69">
        <v>41669</v>
      </c>
      <c r="F21" s="65" t="s">
        <v>87</v>
      </c>
      <c r="G21" s="69">
        <v>45112</v>
      </c>
      <c r="H21" s="67">
        <v>244</v>
      </c>
      <c r="I21" s="67">
        <v>12.2</v>
      </c>
      <c r="J21" s="68">
        <v>59.900000000000006</v>
      </c>
      <c r="K21" s="94">
        <v>2.9950000000000006</v>
      </c>
    </row>
    <row r="22" spans="1:11">
      <c r="A22" s="89">
        <v>100013</v>
      </c>
      <c r="B22" s="65" t="s">
        <v>129</v>
      </c>
      <c r="C22" s="66" t="s">
        <v>130</v>
      </c>
      <c r="D22" s="65" t="s">
        <v>100</v>
      </c>
      <c r="E22" s="69">
        <v>41669</v>
      </c>
      <c r="F22" s="65" t="s">
        <v>87</v>
      </c>
      <c r="G22" s="69">
        <v>45112</v>
      </c>
      <c r="H22" s="67">
        <v>223</v>
      </c>
      <c r="I22" s="67">
        <v>11.149999999999999</v>
      </c>
      <c r="J22" s="68">
        <v>54.399999999999991</v>
      </c>
      <c r="K22" s="94">
        <v>2.7199999999999998</v>
      </c>
    </row>
    <row r="23" spans="1:11">
      <c r="A23" s="89">
        <v>100012</v>
      </c>
      <c r="B23" s="65" t="s">
        <v>127</v>
      </c>
      <c r="C23" s="66" t="s">
        <v>128</v>
      </c>
      <c r="D23" s="65" t="s">
        <v>94</v>
      </c>
      <c r="E23" s="69">
        <v>41790</v>
      </c>
      <c r="F23" s="65" t="s">
        <v>87</v>
      </c>
      <c r="G23" s="69">
        <v>45111</v>
      </c>
      <c r="H23" s="67">
        <v>229</v>
      </c>
      <c r="I23" s="67">
        <v>11.45</v>
      </c>
      <c r="J23" s="68">
        <v>53.6</v>
      </c>
      <c r="K23" s="94">
        <v>2.68</v>
      </c>
    </row>
    <row r="24" spans="1:11">
      <c r="A24" s="89">
        <v>100011</v>
      </c>
      <c r="B24" s="65" t="s">
        <v>125</v>
      </c>
      <c r="C24" s="66" t="s">
        <v>126</v>
      </c>
      <c r="D24" s="65" t="s">
        <v>109</v>
      </c>
      <c r="E24" s="69">
        <v>41778</v>
      </c>
      <c r="F24" s="65" t="s">
        <v>87</v>
      </c>
      <c r="G24" s="69">
        <v>45109</v>
      </c>
      <c r="H24" s="67">
        <v>257</v>
      </c>
      <c r="I24" s="67">
        <v>12.85</v>
      </c>
      <c r="J24" s="68">
        <v>67.400000000000006</v>
      </c>
      <c r="K24" s="94">
        <v>3.37</v>
      </c>
    </row>
    <row r="25" spans="1:11">
      <c r="A25" s="89">
        <v>100010</v>
      </c>
      <c r="B25" s="65" t="s">
        <v>123</v>
      </c>
      <c r="C25" s="66" t="s">
        <v>124</v>
      </c>
      <c r="D25" s="65" t="s">
        <v>96</v>
      </c>
      <c r="E25" s="69">
        <v>40835</v>
      </c>
      <c r="F25" s="65" t="s">
        <v>87</v>
      </c>
      <c r="G25" s="69">
        <v>45108</v>
      </c>
      <c r="H25" s="67">
        <v>238</v>
      </c>
      <c r="I25" s="67">
        <v>11.9</v>
      </c>
      <c r="J25" s="68">
        <v>59.2</v>
      </c>
      <c r="K25" s="94">
        <v>2.9600000000000004</v>
      </c>
    </row>
    <row r="26" spans="1:11">
      <c r="A26" s="89">
        <v>100009</v>
      </c>
      <c r="B26" s="65" t="s">
        <v>121</v>
      </c>
      <c r="C26" s="66" t="s">
        <v>122</v>
      </c>
      <c r="D26" s="65" t="s">
        <v>96</v>
      </c>
      <c r="E26" s="69">
        <v>40930</v>
      </c>
      <c r="F26" s="65" t="s">
        <v>87</v>
      </c>
      <c r="G26" s="69">
        <v>45267</v>
      </c>
      <c r="H26" s="67">
        <v>236</v>
      </c>
      <c r="I26" s="67">
        <v>11.8</v>
      </c>
      <c r="J26" s="68">
        <v>59.500000000000007</v>
      </c>
      <c r="K26" s="94">
        <v>2.9750000000000001</v>
      </c>
    </row>
    <row r="27" spans="1:11">
      <c r="A27" s="89">
        <v>100008</v>
      </c>
      <c r="B27" s="65" t="s">
        <v>119</v>
      </c>
      <c r="C27" s="66" t="s">
        <v>120</v>
      </c>
      <c r="D27" s="65" t="s">
        <v>100</v>
      </c>
      <c r="E27" s="69">
        <v>41413</v>
      </c>
      <c r="F27" s="65" t="s">
        <v>87</v>
      </c>
      <c r="G27" s="69">
        <v>45237</v>
      </c>
      <c r="H27" s="67">
        <v>249</v>
      </c>
      <c r="I27" s="67">
        <v>12.450000000000001</v>
      </c>
      <c r="J27" s="68">
        <v>62.7</v>
      </c>
      <c r="K27" s="94">
        <v>3.1349999999999998</v>
      </c>
    </row>
    <row r="28" spans="1:11">
      <c r="A28" s="89">
        <v>100007</v>
      </c>
      <c r="B28" s="65" t="s">
        <v>117</v>
      </c>
      <c r="C28" s="66" t="s">
        <v>118</v>
      </c>
      <c r="D28" s="65" t="s">
        <v>99</v>
      </c>
      <c r="E28" s="69">
        <v>43792</v>
      </c>
      <c r="F28" s="65" t="s">
        <v>87</v>
      </c>
      <c r="G28" s="69">
        <v>45206</v>
      </c>
      <c r="H28" s="67">
        <v>252</v>
      </c>
      <c r="I28" s="67">
        <v>12.600000000000001</v>
      </c>
      <c r="J28" s="68">
        <v>61.9</v>
      </c>
      <c r="K28" s="94">
        <v>3.0950000000000002</v>
      </c>
    </row>
    <row r="29" spans="1:11">
      <c r="A29" s="89">
        <v>100006</v>
      </c>
      <c r="B29" s="65" t="s">
        <v>115</v>
      </c>
      <c r="C29" s="66" t="s">
        <v>116</v>
      </c>
      <c r="D29" s="65" t="s">
        <v>99</v>
      </c>
      <c r="E29" s="69">
        <v>42709</v>
      </c>
      <c r="F29" s="65" t="s">
        <v>87</v>
      </c>
      <c r="G29" s="69">
        <v>45176</v>
      </c>
      <c r="H29" s="67">
        <v>247</v>
      </c>
      <c r="I29" s="67">
        <v>12.35</v>
      </c>
      <c r="J29" s="68">
        <v>59.8</v>
      </c>
      <c r="K29" s="94">
        <v>2.9899999999999998</v>
      </c>
    </row>
    <row r="30" spans="1:11">
      <c r="A30" s="89">
        <v>100005</v>
      </c>
      <c r="B30" s="65" t="s">
        <v>107</v>
      </c>
      <c r="C30" s="66" t="s">
        <v>108</v>
      </c>
      <c r="D30" s="65" t="s">
        <v>109</v>
      </c>
      <c r="E30" s="69">
        <v>42450</v>
      </c>
      <c r="F30" s="65" t="s">
        <v>87</v>
      </c>
      <c r="G30" s="69">
        <v>45145</v>
      </c>
      <c r="H30" s="67">
        <v>249</v>
      </c>
      <c r="I30" s="67">
        <v>12.45</v>
      </c>
      <c r="J30" s="68">
        <v>64.400000000000006</v>
      </c>
      <c r="K30" s="94">
        <v>3.22</v>
      </c>
    </row>
    <row r="31" spans="1:11">
      <c r="A31" s="90">
        <v>100004</v>
      </c>
      <c r="B31" s="65" t="s">
        <v>104</v>
      </c>
      <c r="C31" s="66" t="s">
        <v>105</v>
      </c>
      <c r="D31" s="65" t="s">
        <v>106</v>
      </c>
      <c r="E31" s="69">
        <v>42789</v>
      </c>
      <c r="F31" s="65" t="s">
        <v>87</v>
      </c>
      <c r="G31" s="69">
        <v>45114</v>
      </c>
      <c r="H31" s="67">
        <v>236</v>
      </c>
      <c r="I31" s="67">
        <v>11.8</v>
      </c>
      <c r="J31" s="68">
        <v>61.1</v>
      </c>
      <c r="K31" s="94">
        <v>3.0549999999999997</v>
      </c>
    </row>
    <row r="32" spans="1:11">
      <c r="A32" s="90">
        <v>100003</v>
      </c>
      <c r="B32" s="65" t="s">
        <v>103</v>
      </c>
      <c r="C32" s="66" t="s">
        <v>91</v>
      </c>
      <c r="D32" s="65" t="s">
        <v>90</v>
      </c>
      <c r="E32" s="69">
        <v>43181</v>
      </c>
      <c r="F32" s="65" t="s">
        <v>87</v>
      </c>
      <c r="G32" s="69">
        <v>45084</v>
      </c>
      <c r="H32" s="67">
        <v>236</v>
      </c>
      <c r="I32" s="67">
        <v>11.8</v>
      </c>
      <c r="J32" s="68">
        <v>58.3</v>
      </c>
      <c r="K32" s="94">
        <v>2.9150000000000005</v>
      </c>
    </row>
    <row r="33" spans="1:11">
      <c r="A33" s="90">
        <v>100002</v>
      </c>
      <c r="B33" s="65" t="s">
        <v>95</v>
      </c>
      <c r="C33" s="66" t="s">
        <v>102</v>
      </c>
      <c r="D33" s="65" t="s">
        <v>98</v>
      </c>
      <c r="E33" s="69">
        <v>44782</v>
      </c>
      <c r="F33" s="87" t="s">
        <v>87</v>
      </c>
      <c r="G33" s="69">
        <v>45130</v>
      </c>
      <c r="H33" s="67">
        <v>243</v>
      </c>
      <c r="I33" s="67">
        <v>12.149999999999999</v>
      </c>
      <c r="J33" s="68">
        <v>60.6</v>
      </c>
      <c r="K33" s="94">
        <v>3.0300000000000002</v>
      </c>
    </row>
    <row r="34" spans="1:11">
      <c r="A34" s="89">
        <v>100001</v>
      </c>
      <c r="B34" s="65" t="s">
        <v>92</v>
      </c>
      <c r="C34" s="66" t="s">
        <v>93</v>
      </c>
      <c r="D34" s="65" t="s">
        <v>94</v>
      </c>
      <c r="E34" s="69">
        <v>44417</v>
      </c>
      <c r="F34" s="65" t="s">
        <v>87</v>
      </c>
      <c r="G34" s="69">
        <v>45272</v>
      </c>
      <c r="H34" s="67">
        <v>251</v>
      </c>
      <c r="I34" s="67">
        <v>12.55</v>
      </c>
      <c r="J34" s="68">
        <v>61.300000000000004</v>
      </c>
      <c r="K34" s="94">
        <v>3.0649999999999999</v>
      </c>
    </row>
    <row r="35" spans="1:11">
      <c r="A35" s="65"/>
      <c r="B35" s="82"/>
      <c r="C35" s="66"/>
      <c r="D35" s="65"/>
      <c r="E35" s="69"/>
      <c r="F35" s="65"/>
      <c r="G35" s="69"/>
      <c r="H35" s="67"/>
      <c r="I35" s="67"/>
      <c r="J35" s="68"/>
      <c r="K35" s="94"/>
    </row>
    <row r="36" spans="1:11">
      <c r="A36" s="65"/>
      <c r="B36" s="65"/>
      <c r="C36" s="66"/>
      <c r="D36" s="65"/>
      <c r="E36" s="69"/>
      <c r="F36" s="65"/>
      <c r="G36" s="69"/>
      <c r="H36" s="67"/>
      <c r="I36" s="67"/>
      <c r="J36" s="68"/>
      <c r="K36" s="94"/>
    </row>
    <row r="37" spans="1:11">
      <c r="A37" s="65"/>
      <c r="B37" s="65"/>
      <c r="C37" s="66"/>
      <c r="D37" s="65"/>
      <c r="E37" s="69"/>
      <c r="F37" s="65"/>
      <c r="G37" s="72"/>
      <c r="H37" s="67"/>
      <c r="I37" s="67"/>
      <c r="J37" s="68"/>
      <c r="K37" s="94"/>
    </row>
    <row r="38" spans="1:11">
      <c r="A38" s="65"/>
      <c r="B38" s="65"/>
      <c r="C38" s="66"/>
      <c r="D38" s="65"/>
      <c r="E38" s="69"/>
      <c r="F38" s="65"/>
      <c r="G38" s="69"/>
      <c r="H38" s="67"/>
      <c r="I38" s="67"/>
      <c r="J38" s="68"/>
      <c r="K38" s="94"/>
    </row>
    <row r="39" spans="1:11">
      <c r="A39" s="65"/>
      <c r="B39" s="65"/>
      <c r="C39" s="66"/>
      <c r="D39" s="65"/>
      <c r="E39" s="69"/>
      <c r="F39" s="65"/>
      <c r="G39" s="69"/>
      <c r="H39" s="67"/>
      <c r="I39" s="67"/>
      <c r="J39" s="68"/>
      <c r="K39" s="94"/>
    </row>
    <row r="40" spans="1:11">
      <c r="A40" s="65"/>
      <c r="B40" s="65"/>
      <c r="C40" s="66"/>
      <c r="D40" s="65"/>
      <c r="E40" s="69"/>
      <c r="F40" s="65"/>
      <c r="G40" s="69"/>
      <c r="H40" s="67"/>
      <c r="I40" s="67"/>
      <c r="J40" s="68"/>
      <c r="K40" s="94"/>
    </row>
    <row r="41" spans="1:11">
      <c r="A41" s="65"/>
      <c r="B41" s="65"/>
      <c r="C41" s="66"/>
      <c r="D41" s="65"/>
      <c r="E41" s="69"/>
      <c r="F41" s="65"/>
      <c r="G41" s="69"/>
      <c r="H41" s="67"/>
      <c r="I41" s="67"/>
      <c r="J41" s="68"/>
      <c r="K41" s="94"/>
    </row>
    <row r="42" spans="1:11">
      <c r="A42" s="65"/>
      <c r="B42" s="65"/>
      <c r="C42" s="66"/>
      <c r="D42" s="65"/>
      <c r="E42" s="69"/>
      <c r="F42" s="65"/>
      <c r="G42" s="69"/>
      <c r="H42" s="67"/>
      <c r="I42" s="67"/>
      <c r="J42" s="68"/>
      <c r="K42" s="94"/>
    </row>
    <row r="43" spans="1:11">
      <c r="A43" s="65"/>
      <c r="B43" s="65"/>
      <c r="C43" s="66"/>
      <c r="D43" s="65"/>
      <c r="E43" s="69"/>
      <c r="F43" s="65"/>
      <c r="G43" s="69"/>
      <c r="H43" s="67"/>
      <c r="I43" s="67"/>
      <c r="J43" s="68"/>
      <c r="K43" s="94"/>
    </row>
    <row r="44" spans="1:11">
      <c r="A44" s="65"/>
      <c r="B44" s="65"/>
      <c r="C44" s="66"/>
      <c r="D44" s="65"/>
      <c r="E44" s="69"/>
      <c r="F44" s="65"/>
      <c r="G44" s="69"/>
      <c r="H44" s="67"/>
      <c r="I44" s="67"/>
      <c r="J44" s="68"/>
      <c r="K44" s="94"/>
    </row>
    <row r="45" spans="1:11">
      <c r="A45" s="63"/>
      <c r="B45" s="63"/>
      <c r="C45" s="63"/>
      <c r="D45" s="63"/>
      <c r="E45" s="70"/>
      <c r="F45" s="63"/>
      <c r="G45" s="70"/>
      <c r="H45" s="63"/>
      <c r="I45" s="63"/>
      <c r="J45" s="63"/>
      <c r="K45" s="95"/>
    </row>
    <row r="46" spans="1:11">
      <c r="A46" s="63"/>
      <c r="B46" s="63"/>
      <c r="C46" s="63"/>
      <c r="D46" s="63"/>
      <c r="E46" s="70"/>
      <c r="F46" s="63"/>
      <c r="G46" s="70"/>
      <c r="H46" s="63"/>
      <c r="I46" s="63"/>
      <c r="J46" s="63"/>
      <c r="K46" s="95"/>
    </row>
    <row r="47" spans="1:11">
      <c r="A47" s="63"/>
      <c r="B47" s="63"/>
      <c r="C47" s="63"/>
      <c r="D47" s="63"/>
      <c r="E47" s="70"/>
      <c r="F47" s="63"/>
      <c r="G47" s="70"/>
      <c r="H47" s="63"/>
      <c r="I47" s="63"/>
      <c r="J47" s="63"/>
      <c r="K47" s="95"/>
    </row>
    <row r="48" spans="1:11">
      <c r="A48" s="63"/>
      <c r="B48" s="63"/>
      <c r="C48" s="63"/>
      <c r="D48" s="63"/>
      <c r="E48" s="70"/>
      <c r="F48" s="63"/>
      <c r="G48" s="70"/>
      <c r="H48" s="63"/>
      <c r="I48" s="63"/>
      <c r="J48" s="64"/>
      <c r="K48" s="96"/>
    </row>
    <row r="49" spans="1:11">
      <c r="A49" s="63"/>
      <c r="B49" s="63"/>
      <c r="C49" s="63"/>
      <c r="D49" s="63"/>
      <c r="E49" s="70"/>
      <c r="F49" s="63"/>
      <c r="G49" s="70"/>
      <c r="H49" s="63"/>
      <c r="I49" s="63"/>
      <c r="J49" s="64"/>
      <c r="K49" s="96"/>
    </row>
    <row r="50" spans="1:11">
      <c r="A50" s="63"/>
      <c r="B50" s="63"/>
      <c r="C50" s="63"/>
      <c r="D50" s="63"/>
      <c r="E50" s="70"/>
      <c r="F50" s="63"/>
      <c r="G50" s="70"/>
      <c r="H50" s="63"/>
      <c r="I50" s="63"/>
      <c r="J50" s="64"/>
      <c r="K50" s="96"/>
    </row>
    <row r="51" spans="1:11">
      <c r="A51" s="63"/>
      <c r="B51" s="63"/>
      <c r="C51" s="63"/>
      <c r="D51" s="63"/>
      <c r="E51" s="70"/>
      <c r="F51" s="63"/>
      <c r="G51" s="70"/>
      <c r="H51" s="63"/>
      <c r="I51" s="63"/>
      <c r="J51" s="64"/>
      <c r="K51" s="96"/>
    </row>
    <row r="52" spans="1:11">
      <c r="A52" s="63"/>
      <c r="B52" s="63"/>
      <c r="C52" s="63"/>
      <c r="D52" s="63"/>
      <c r="E52" s="70"/>
      <c r="F52" s="63"/>
      <c r="G52" s="70"/>
      <c r="H52" s="63"/>
      <c r="I52" s="63"/>
      <c r="J52" s="64"/>
      <c r="K52" s="96"/>
    </row>
    <row r="53" spans="1:11">
      <c r="A53" s="63"/>
      <c r="B53" s="63"/>
      <c r="C53" s="63"/>
      <c r="D53" s="63"/>
      <c r="E53" s="70"/>
      <c r="F53" s="63"/>
      <c r="G53" s="70"/>
      <c r="H53" s="63"/>
      <c r="I53" s="63"/>
      <c r="J53" s="64"/>
      <c r="K53" s="96"/>
    </row>
    <row r="54" spans="1:11">
      <c r="A54" s="63"/>
      <c r="B54" s="63"/>
      <c r="C54" s="63"/>
      <c r="D54" s="63"/>
      <c r="E54" s="70"/>
      <c r="F54" s="63"/>
      <c r="G54" s="70"/>
      <c r="H54" s="63"/>
      <c r="I54" s="63"/>
      <c r="J54" s="64"/>
      <c r="K54" s="96"/>
    </row>
    <row r="55" spans="1:11">
      <c r="A55" s="63"/>
      <c r="B55" s="63"/>
      <c r="C55" s="63"/>
      <c r="D55" s="63"/>
      <c r="E55" s="70"/>
      <c r="F55" s="63"/>
      <c r="G55" s="70"/>
      <c r="H55" s="63"/>
      <c r="I55" s="63"/>
      <c r="J55" s="64"/>
      <c r="K55" s="96"/>
    </row>
    <row r="56" spans="1:11">
      <c r="A56" s="63"/>
      <c r="B56" s="63"/>
      <c r="C56" s="63"/>
      <c r="D56" s="63"/>
      <c r="E56" s="70"/>
      <c r="F56" s="63"/>
      <c r="G56" s="70"/>
      <c r="H56" s="63"/>
      <c r="I56" s="63"/>
      <c r="J56" s="64"/>
      <c r="K56" s="96"/>
    </row>
    <row r="57" spans="1:11">
      <c r="A57" s="63"/>
      <c r="B57" s="63"/>
      <c r="C57" s="63"/>
      <c r="D57" s="63"/>
      <c r="E57" s="70"/>
      <c r="F57" s="63"/>
      <c r="G57" s="70"/>
      <c r="H57" s="63"/>
      <c r="I57" s="63"/>
      <c r="J57" s="64"/>
      <c r="K57" s="96"/>
    </row>
    <row r="58" spans="1:11">
      <c r="A58" s="63"/>
      <c r="B58" s="63"/>
      <c r="C58" s="63"/>
      <c r="D58" s="63"/>
      <c r="E58" s="70"/>
      <c r="F58" s="63"/>
      <c r="G58" s="70"/>
      <c r="H58" s="63"/>
      <c r="I58" s="63"/>
      <c r="J58" s="64"/>
      <c r="K58" s="96"/>
    </row>
    <row r="59" spans="1:11">
      <c r="A59" s="63"/>
      <c r="B59" s="63"/>
      <c r="C59" s="63"/>
      <c r="D59" s="63"/>
      <c r="E59" s="70"/>
      <c r="F59" s="63"/>
      <c r="G59" s="70"/>
      <c r="H59" s="63"/>
      <c r="I59" s="63"/>
      <c r="J59" s="64"/>
      <c r="K59" s="96"/>
    </row>
    <row r="60" spans="1:11">
      <c r="A60" s="63"/>
      <c r="B60" s="63"/>
      <c r="C60" s="63"/>
      <c r="D60" s="63"/>
      <c r="E60" s="70"/>
      <c r="F60" s="63"/>
      <c r="G60" s="70"/>
      <c r="H60" s="63"/>
      <c r="I60" s="63"/>
      <c r="J60" s="64"/>
      <c r="K60" s="96"/>
    </row>
    <row r="61" spans="1:11">
      <c r="A61" s="63"/>
      <c r="B61" s="63"/>
      <c r="C61" s="63"/>
      <c r="D61" s="63"/>
      <c r="E61" s="70"/>
      <c r="F61" s="63"/>
      <c r="G61" s="70"/>
      <c r="H61" s="63"/>
      <c r="I61" s="63"/>
      <c r="J61" s="64"/>
      <c r="K61" s="96"/>
    </row>
    <row r="62" spans="1:11">
      <c r="A62" s="63"/>
      <c r="B62" s="63"/>
      <c r="C62" s="63"/>
      <c r="D62" s="63"/>
      <c r="E62" s="70"/>
      <c r="F62" s="63"/>
      <c r="G62" s="70"/>
      <c r="H62" s="63"/>
      <c r="I62" s="63"/>
      <c r="J62" s="64"/>
      <c r="K62" s="96"/>
    </row>
    <row r="63" spans="1:11">
      <c r="A63" s="63"/>
      <c r="B63" s="63"/>
      <c r="C63" s="63"/>
      <c r="D63" s="63"/>
      <c r="E63" s="70"/>
      <c r="F63" s="63"/>
      <c r="G63" s="70"/>
      <c r="H63" s="63"/>
      <c r="I63" s="63"/>
      <c r="J63" s="64"/>
      <c r="K63" s="96"/>
    </row>
    <row r="64" spans="1:11">
      <c r="A64" s="63"/>
      <c r="B64" s="63"/>
      <c r="C64" s="63"/>
      <c r="D64" s="63"/>
      <c r="E64" s="70"/>
      <c r="F64" s="63"/>
      <c r="G64" s="70"/>
      <c r="H64" s="63"/>
      <c r="I64" s="63"/>
      <c r="J64" s="64"/>
      <c r="K64" s="96"/>
    </row>
    <row r="65" spans="1:11">
      <c r="A65" s="63"/>
      <c r="B65" s="63"/>
      <c r="C65" s="63"/>
      <c r="D65" s="63"/>
      <c r="E65" s="70"/>
      <c r="F65" s="63"/>
      <c r="G65" s="70"/>
      <c r="H65" s="63"/>
      <c r="I65" s="63"/>
      <c r="J65" s="64"/>
      <c r="K65" s="96"/>
    </row>
    <row r="66" spans="1:11">
      <c r="A66" s="63"/>
      <c r="B66" s="63"/>
      <c r="C66" s="63"/>
      <c r="D66" s="63"/>
      <c r="E66" s="70"/>
      <c r="F66" s="63"/>
      <c r="G66" s="70"/>
      <c r="H66" s="63"/>
      <c r="I66" s="63"/>
      <c r="J66" s="64"/>
      <c r="K66" s="96"/>
    </row>
    <row r="67" spans="1:11">
      <c r="A67" s="63"/>
      <c r="B67" s="63"/>
      <c r="C67" s="63"/>
      <c r="D67" s="63"/>
      <c r="E67" s="70"/>
      <c r="F67" s="63"/>
      <c r="G67" s="70"/>
      <c r="H67" s="63"/>
      <c r="I67" s="63"/>
      <c r="J67" s="64"/>
      <c r="K67" s="96"/>
    </row>
    <row r="68" spans="1:11">
      <c r="A68" s="63"/>
      <c r="B68" s="63"/>
      <c r="C68" s="63"/>
      <c r="D68" s="63"/>
      <c r="E68" s="70"/>
      <c r="F68" s="63"/>
      <c r="G68" s="70"/>
      <c r="H68" s="63"/>
      <c r="I68" s="63"/>
      <c r="J68" s="64"/>
      <c r="K68" s="96"/>
    </row>
    <row r="69" spans="1:11">
      <c r="A69" s="63"/>
      <c r="B69" s="63"/>
      <c r="C69" s="63"/>
      <c r="D69" s="63"/>
      <c r="E69" s="70"/>
      <c r="F69" s="63"/>
      <c r="G69" s="70"/>
      <c r="H69" s="63"/>
      <c r="I69" s="63"/>
      <c r="J69" s="64"/>
      <c r="K69" s="96"/>
    </row>
    <row r="70" spans="1:11">
      <c r="A70" s="63"/>
      <c r="B70" s="63"/>
      <c r="C70" s="63"/>
      <c r="D70" s="63"/>
      <c r="E70" s="70"/>
      <c r="F70" s="63"/>
      <c r="G70" s="70"/>
      <c r="H70" s="63"/>
      <c r="I70" s="63"/>
      <c r="J70" s="64"/>
      <c r="K70" s="96"/>
    </row>
    <row r="71" spans="1:11">
      <c r="A71" s="63"/>
      <c r="B71" s="63"/>
      <c r="C71" s="63"/>
      <c r="D71" s="63"/>
      <c r="E71" s="70"/>
      <c r="F71" s="63"/>
      <c r="G71" s="70"/>
      <c r="H71" s="63"/>
      <c r="I71" s="63"/>
      <c r="J71" s="64"/>
      <c r="K71" s="96"/>
    </row>
    <row r="72" spans="1:11">
      <c r="A72" s="63"/>
      <c r="B72" s="63"/>
      <c r="C72" s="63"/>
      <c r="D72" s="63"/>
      <c r="E72" s="70"/>
      <c r="F72" s="63"/>
      <c r="G72" s="70"/>
      <c r="H72" s="63"/>
      <c r="I72" s="63"/>
      <c r="J72" s="64"/>
      <c r="K72" s="96"/>
    </row>
    <row r="73" spans="1:11">
      <c r="A73" s="63"/>
      <c r="B73" s="63"/>
      <c r="C73" s="63"/>
      <c r="D73" s="63"/>
      <c r="E73" s="70"/>
      <c r="F73" s="63"/>
      <c r="G73" s="70"/>
      <c r="H73" s="63"/>
      <c r="I73" s="63"/>
      <c r="J73" s="64"/>
      <c r="K73" s="96"/>
    </row>
    <row r="74" spans="1:11">
      <c r="A74" s="63"/>
      <c r="B74" s="63"/>
      <c r="C74" s="63"/>
      <c r="D74" s="63"/>
      <c r="E74" s="70"/>
      <c r="F74" s="63"/>
      <c r="G74" s="70"/>
      <c r="H74" s="63"/>
      <c r="I74" s="63"/>
      <c r="J74" s="64"/>
      <c r="K74" s="96"/>
    </row>
    <row r="75" spans="1:11">
      <c r="A75" s="63"/>
      <c r="B75" s="63"/>
      <c r="C75" s="63"/>
      <c r="D75" s="63"/>
      <c r="E75" s="70"/>
      <c r="F75" s="63"/>
      <c r="G75" s="70"/>
      <c r="H75" s="63"/>
      <c r="I75" s="63"/>
      <c r="J75" s="64"/>
      <c r="K75" s="96"/>
    </row>
    <row r="76" spans="1:11">
      <c r="A76" s="63"/>
      <c r="B76" s="63"/>
      <c r="C76" s="63"/>
      <c r="D76" s="63"/>
      <c r="E76" s="70"/>
      <c r="F76" s="63"/>
      <c r="G76" s="70"/>
      <c r="H76" s="63"/>
      <c r="I76" s="63"/>
      <c r="J76" s="64"/>
      <c r="K76" s="96"/>
    </row>
    <row r="77" spans="1:11">
      <c r="A77" s="63"/>
      <c r="B77" s="63"/>
      <c r="C77" s="63"/>
      <c r="D77" s="63"/>
      <c r="E77" s="70"/>
      <c r="F77" s="63"/>
      <c r="G77" s="70"/>
      <c r="H77" s="63"/>
      <c r="I77" s="63"/>
      <c r="J77" s="64"/>
      <c r="K77" s="96"/>
    </row>
    <row r="78" spans="1:11">
      <c r="A78" s="63"/>
      <c r="B78" s="63"/>
      <c r="C78" s="63"/>
      <c r="D78" s="63"/>
      <c r="E78" s="70"/>
      <c r="F78" s="63"/>
      <c r="G78" s="70"/>
      <c r="H78" s="63"/>
      <c r="I78" s="63"/>
      <c r="J78" s="64"/>
      <c r="K78" s="96"/>
    </row>
    <row r="79" spans="1:11">
      <c r="A79" s="63"/>
      <c r="B79" s="63"/>
      <c r="C79" s="63"/>
      <c r="D79" s="63"/>
      <c r="E79" s="70"/>
      <c r="F79" s="63"/>
      <c r="G79" s="70"/>
      <c r="H79" s="63"/>
      <c r="I79" s="63"/>
      <c r="J79" s="64"/>
      <c r="K79" s="96"/>
    </row>
    <row r="80" spans="1:11">
      <c r="A80" s="63"/>
      <c r="B80" s="63"/>
      <c r="C80" s="63"/>
      <c r="D80" s="63"/>
      <c r="E80" s="70"/>
      <c r="F80" s="63"/>
      <c r="G80" s="70"/>
      <c r="H80" s="63"/>
      <c r="I80" s="63"/>
      <c r="J80" s="64"/>
      <c r="K80" s="96"/>
    </row>
    <row r="81" spans="1:11">
      <c r="A81" s="63"/>
      <c r="B81" s="63"/>
      <c r="C81" s="63"/>
      <c r="D81" s="63"/>
      <c r="E81" s="70"/>
      <c r="F81" s="63"/>
      <c r="G81" s="70"/>
      <c r="H81" s="63"/>
      <c r="I81" s="63"/>
      <c r="J81" s="64"/>
      <c r="K81" s="96"/>
    </row>
    <row r="82" spans="1:11">
      <c r="A82" s="63"/>
      <c r="B82" s="63"/>
      <c r="C82" s="63"/>
      <c r="D82" s="63"/>
      <c r="E82" s="70"/>
      <c r="F82" s="63"/>
      <c r="G82" s="70"/>
      <c r="H82" s="63"/>
      <c r="I82" s="63"/>
      <c r="J82" s="64"/>
      <c r="K82" s="96"/>
    </row>
    <row r="83" spans="1:11">
      <c r="A83" s="63"/>
      <c r="B83" s="63"/>
      <c r="C83" s="63"/>
      <c r="D83" s="63"/>
      <c r="E83" s="70"/>
      <c r="F83" s="63"/>
      <c r="G83" s="70"/>
      <c r="H83" s="63"/>
      <c r="I83" s="63"/>
      <c r="J83" s="64"/>
      <c r="K83" s="96"/>
    </row>
    <row r="84" spans="1:11">
      <c r="A84" s="63"/>
      <c r="B84" s="63"/>
      <c r="C84" s="63"/>
      <c r="D84" s="63"/>
      <c r="E84" s="70"/>
      <c r="F84" s="63"/>
      <c r="G84" s="70"/>
      <c r="H84" s="63"/>
      <c r="I84" s="63"/>
      <c r="J84" s="64"/>
      <c r="K84" s="96"/>
    </row>
    <row r="85" spans="1:11">
      <c r="A85" s="63"/>
      <c r="B85" s="63"/>
      <c r="C85" s="63"/>
      <c r="D85" s="63"/>
      <c r="E85" s="70"/>
      <c r="F85" s="63"/>
      <c r="G85" s="70"/>
      <c r="H85" s="63"/>
      <c r="I85" s="63"/>
      <c r="J85" s="64"/>
      <c r="K85" s="96"/>
    </row>
    <row r="86" spans="1:11">
      <c r="A86" s="63"/>
      <c r="B86" s="63"/>
      <c r="C86" s="64"/>
      <c r="D86" s="64"/>
      <c r="E86" s="71"/>
      <c r="F86" s="64"/>
      <c r="G86" s="71"/>
      <c r="H86" s="64"/>
      <c r="I86" s="64"/>
      <c r="J86" s="64"/>
      <c r="K86" s="96"/>
    </row>
    <row r="87" spans="1:11">
      <c r="A87" s="63"/>
      <c r="B87" s="63"/>
      <c r="C87" s="63"/>
      <c r="D87" s="63"/>
      <c r="E87" s="70"/>
      <c r="F87" s="63"/>
      <c r="G87" s="70"/>
      <c r="H87" s="63"/>
      <c r="I87" s="63"/>
      <c r="J87" s="64"/>
      <c r="K87" s="96"/>
    </row>
    <row r="88" spans="1:11">
      <c r="A88" s="63"/>
      <c r="B88" s="63"/>
      <c r="C88" s="63"/>
      <c r="D88" s="63"/>
      <c r="E88" s="70"/>
      <c r="F88" s="63"/>
      <c r="G88" s="70"/>
      <c r="H88" s="63"/>
      <c r="I88" s="63"/>
      <c r="J88" s="64"/>
      <c r="K88" s="96"/>
    </row>
    <row r="89" spans="1:11">
      <c r="A89" s="63"/>
      <c r="B89" s="63"/>
      <c r="C89" s="63"/>
      <c r="D89" s="63"/>
      <c r="E89" s="70"/>
      <c r="F89" s="63"/>
      <c r="G89" s="70"/>
      <c r="H89" s="63"/>
      <c r="I89" s="63"/>
      <c r="J89" s="64"/>
      <c r="K89" s="96"/>
    </row>
    <row r="90" spans="1:11">
      <c r="A90" s="63"/>
      <c r="B90" s="63"/>
      <c r="C90" s="63"/>
      <c r="D90" s="63"/>
      <c r="E90" s="70"/>
      <c r="F90" s="63"/>
      <c r="G90" s="70"/>
      <c r="H90" s="63"/>
      <c r="I90" s="63"/>
      <c r="J90" s="64"/>
      <c r="K90" s="96"/>
    </row>
    <row r="91" spans="1:11">
      <c r="A91" s="63"/>
      <c r="B91" s="63"/>
      <c r="C91" s="63"/>
      <c r="D91" s="63"/>
      <c r="E91" s="70"/>
      <c r="F91" s="63"/>
      <c r="G91" s="70"/>
      <c r="H91" s="63"/>
      <c r="I91" s="63"/>
      <c r="J91" s="64"/>
      <c r="K91" s="96"/>
    </row>
    <row r="92" spans="1:11">
      <c r="A92" s="63"/>
      <c r="B92" s="63"/>
      <c r="C92" s="63"/>
      <c r="D92" s="63"/>
      <c r="E92" s="70"/>
      <c r="F92" s="63"/>
      <c r="G92" s="70"/>
      <c r="H92" s="63"/>
      <c r="I92" s="63"/>
      <c r="J92" s="64"/>
      <c r="K92" s="96"/>
    </row>
    <row r="93" spans="1:11">
      <c r="A93" s="63"/>
      <c r="B93" s="63"/>
      <c r="C93" s="63"/>
      <c r="D93" s="63"/>
      <c r="E93" s="70"/>
      <c r="F93" s="63"/>
      <c r="G93" s="70"/>
      <c r="H93" s="63"/>
      <c r="I93" s="63"/>
      <c r="J93" s="64"/>
      <c r="K93" s="96"/>
    </row>
    <row r="94" spans="1:11">
      <c r="A94" s="63"/>
      <c r="B94" s="63"/>
      <c r="C94" s="63"/>
      <c r="D94" s="63"/>
      <c r="E94" s="70"/>
      <c r="F94" s="63"/>
      <c r="G94" s="70"/>
      <c r="H94" s="63"/>
      <c r="I94" s="63"/>
      <c r="J94" s="64"/>
      <c r="K94" s="96"/>
    </row>
    <row r="95" spans="1:11">
      <c r="A95" s="63"/>
      <c r="B95" s="63"/>
      <c r="C95" s="63"/>
      <c r="D95" s="63"/>
      <c r="E95" s="70"/>
      <c r="F95" s="63"/>
      <c r="G95" s="70"/>
      <c r="H95" s="63"/>
      <c r="I95" s="63"/>
      <c r="J95" s="64"/>
      <c r="K95" s="96"/>
    </row>
    <row r="96" spans="1:11">
      <c r="A96" s="63"/>
      <c r="B96" s="63"/>
      <c r="C96" s="63"/>
      <c r="D96" s="63"/>
      <c r="E96" s="70"/>
      <c r="F96" s="63"/>
      <c r="G96" s="70"/>
      <c r="H96" s="63"/>
      <c r="I96" s="63"/>
      <c r="J96" s="64"/>
      <c r="K96" s="96"/>
    </row>
    <row r="97" spans="1:11">
      <c r="A97" s="63"/>
      <c r="B97" s="63"/>
      <c r="C97" s="63"/>
      <c r="D97" s="63"/>
      <c r="E97" s="70"/>
      <c r="F97" s="63"/>
      <c r="G97" s="70"/>
      <c r="H97" s="63"/>
      <c r="I97" s="63"/>
      <c r="J97" s="64"/>
      <c r="K97" s="96"/>
    </row>
    <row r="98" spans="1:11">
      <c r="A98" s="63"/>
      <c r="B98" s="63"/>
      <c r="C98" s="63"/>
      <c r="D98" s="63"/>
      <c r="E98" s="70"/>
      <c r="F98" s="63"/>
      <c r="G98" s="70"/>
      <c r="H98" s="63"/>
      <c r="I98" s="63"/>
      <c r="J98" s="64"/>
      <c r="K98" s="96"/>
    </row>
    <row r="99" spans="1:11">
      <c r="A99" s="63"/>
      <c r="B99" s="63"/>
      <c r="C99" s="63"/>
      <c r="D99" s="63"/>
      <c r="E99" s="70"/>
      <c r="F99" s="63"/>
      <c r="G99" s="70"/>
      <c r="H99" s="63"/>
      <c r="I99" s="63"/>
      <c r="J99" s="64"/>
      <c r="K99" s="96"/>
    </row>
    <row r="100" spans="1:11">
      <c r="A100" s="63"/>
      <c r="B100" s="63"/>
      <c r="C100" s="63"/>
      <c r="D100" s="63"/>
      <c r="E100" s="70"/>
      <c r="F100" s="63"/>
      <c r="G100" s="70"/>
      <c r="H100" s="63"/>
      <c r="I100" s="63"/>
      <c r="J100" s="64"/>
      <c r="K100" s="96"/>
    </row>
    <row r="101" spans="1:11">
      <c r="A101" s="63"/>
      <c r="B101" s="63"/>
      <c r="C101" s="63"/>
      <c r="D101" s="63"/>
      <c r="E101" s="70"/>
      <c r="F101" s="63"/>
      <c r="G101" s="70"/>
      <c r="H101" s="63"/>
      <c r="I101" s="63"/>
      <c r="J101" s="64"/>
      <c r="K101" s="96"/>
    </row>
    <row r="102" spans="1:11">
      <c r="A102" s="63"/>
      <c r="B102" s="63"/>
      <c r="C102" s="63"/>
      <c r="D102" s="63"/>
      <c r="E102" s="70"/>
      <c r="F102" s="63"/>
      <c r="G102" s="70"/>
      <c r="H102" s="63"/>
      <c r="I102" s="63"/>
      <c r="J102" s="64"/>
      <c r="K102" s="96"/>
    </row>
    <row r="103" spans="1:11">
      <c r="A103" s="63"/>
      <c r="B103" s="63"/>
      <c r="C103" s="63"/>
      <c r="D103" s="63"/>
      <c r="E103" s="70"/>
      <c r="F103" s="63"/>
      <c r="G103" s="70"/>
      <c r="H103" s="63"/>
      <c r="I103" s="63"/>
      <c r="J103" s="64"/>
      <c r="K103" s="96"/>
    </row>
    <row r="104" spans="1:11">
      <c r="A104" s="63"/>
      <c r="B104" s="63"/>
      <c r="C104" s="63"/>
      <c r="D104" s="63"/>
      <c r="E104" s="70"/>
      <c r="F104" s="63"/>
      <c r="G104" s="70"/>
      <c r="H104" s="63"/>
      <c r="I104" s="63"/>
      <c r="J104" s="64"/>
      <c r="K104" s="96"/>
    </row>
    <row r="105" spans="1:11">
      <c r="A105" s="63"/>
      <c r="B105" s="63"/>
      <c r="C105" s="63"/>
      <c r="D105" s="63"/>
      <c r="E105" s="70"/>
      <c r="F105" s="63"/>
      <c r="G105" s="70"/>
      <c r="H105" s="63"/>
      <c r="I105" s="63"/>
      <c r="J105" s="64"/>
      <c r="K105" s="96"/>
    </row>
    <row r="106" spans="1:11">
      <c r="A106" s="63"/>
      <c r="B106" s="63"/>
      <c r="C106" s="63"/>
      <c r="D106" s="63"/>
      <c r="E106" s="70"/>
      <c r="F106" s="63"/>
      <c r="G106" s="70"/>
      <c r="H106" s="63"/>
      <c r="I106" s="63"/>
      <c r="J106" s="64"/>
      <c r="K106" s="96"/>
    </row>
    <row r="107" spans="1:11">
      <c r="A107" s="63"/>
      <c r="B107" s="63"/>
      <c r="C107" s="63"/>
      <c r="D107" s="63"/>
      <c r="E107" s="70"/>
      <c r="F107" s="63"/>
      <c r="G107" s="70"/>
      <c r="H107" s="63"/>
      <c r="I107" s="63"/>
      <c r="J107" s="64"/>
      <c r="K107" s="96"/>
    </row>
    <row r="108" spans="1:11">
      <c r="A108" s="63"/>
      <c r="B108" s="63"/>
      <c r="C108" s="63"/>
      <c r="D108" s="63"/>
      <c r="E108" s="70"/>
      <c r="F108" s="63"/>
      <c r="G108" s="70"/>
      <c r="H108" s="63"/>
      <c r="I108" s="63"/>
      <c r="J108" s="64"/>
      <c r="K108" s="96"/>
    </row>
    <row r="109" spans="1:11">
      <c r="A109" s="63"/>
      <c r="B109" s="63"/>
      <c r="C109" s="63"/>
      <c r="D109" s="63"/>
      <c r="E109" s="70"/>
      <c r="F109" s="63"/>
      <c r="G109" s="70"/>
      <c r="H109" s="63"/>
      <c r="I109" s="63"/>
      <c r="J109" s="64"/>
      <c r="K109" s="96"/>
    </row>
    <row r="110" spans="1:11">
      <c r="A110" s="63"/>
      <c r="B110" s="63"/>
      <c r="C110" s="63"/>
      <c r="D110" s="63"/>
      <c r="E110" s="70"/>
      <c r="F110" s="63"/>
      <c r="G110" s="70"/>
      <c r="H110" s="63"/>
      <c r="I110" s="63"/>
      <c r="J110" s="64"/>
      <c r="K110" s="96"/>
    </row>
    <row r="111" spans="1:11">
      <c r="A111" s="63"/>
      <c r="B111" s="63"/>
      <c r="C111" s="63"/>
      <c r="D111" s="63"/>
      <c r="E111" s="70"/>
      <c r="F111" s="63"/>
      <c r="G111" s="70"/>
      <c r="H111" s="63"/>
      <c r="I111" s="63"/>
      <c r="J111" s="64"/>
      <c r="K111" s="96"/>
    </row>
    <row r="112" spans="1:11">
      <c r="A112" s="63"/>
      <c r="B112" s="63"/>
      <c r="C112" s="63"/>
      <c r="D112" s="63"/>
      <c r="E112" s="70"/>
      <c r="F112" s="63"/>
      <c r="G112" s="70"/>
      <c r="H112" s="63"/>
      <c r="I112" s="63"/>
      <c r="J112" s="64"/>
      <c r="K112" s="96"/>
    </row>
    <row r="113" spans="1:11">
      <c r="A113" s="63"/>
      <c r="B113" s="63"/>
      <c r="C113" s="63"/>
      <c r="D113" s="63"/>
      <c r="E113" s="70"/>
      <c r="F113" s="63"/>
      <c r="G113" s="70"/>
      <c r="H113" s="63"/>
      <c r="I113" s="63"/>
      <c r="J113" s="64"/>
      <c r="K113" s="96"/>
    </row>
    <row r="114" spans="1:11">
      <c r="A114" s="63"/>
      <c r="B114" s="63"/>
      <c r="C114" s="63"/>
      <c r="D114" s="63"/>
      <c r="E114" s="70"/>
      <c r="F114" s="63"/>
      <c r="G114" s="70"/>
      <c r="H114" s="63"/>
      <c r="I114" s="63"/>
      <c r="J114" s="64"/>
      <c r="K114" s="96"/>
    </row>
    <row r="115" spans="1:11">
      <c r="A115" s="63"/>
      <c r="B115" s="63"/>
      <c r="C115" s="63"/>
      <c r="D115" s="63"/>
      <c r="E115" s="70"/>
      <c r="F115" s="63"/>
      <c r="G115" s="70"/>
      <c r="H115" s="63"/>
      <c r="I115" s="63"/>
      <c r="J115" s="64"/>
      <c r="K115" s="96"/>
    </row>
    <row r="116" spans="1:11">
      <c r="A116" s="63"/>
      <c r="B116" s="63"/>
      <c r="C116" s="63"/>
      <c r="D116" s="63"/>
      <c r="E116" s="70"/>
      <c r="F116" s="63"/>
      <c r="G116" s="70"/>
      <c r="H116" s="63"/>
      <c r="I116" s="63"/>
      <c r="J116" s="64"/>
      <c r="K116" s="96"/>
    </row>
    <row r="117" spans="1:11">
      <c r="A117" s="63"/>
      <c r="B117" s="63"/>
      <c r="C117" s="63"/>
      <c r="D117" s="63"/>
      <c r="E117" s="70"/>
      <c r="F117" s="63"/>
      <c r="G117" s="70"/>
      <c r="H117" s="63"/>
      <c r="I117" s="63"/>
      <c r="J117" s="64"/>
      <c r="K117" s="96"/>
    </row>
    <row r="118" spans="1:11">
      <c r="A118" s="63"/>
      <c r="B118" s="63"/>
      <c r="C118" s="63"/>
      <c r="D118" s="63"/>
      <c r="E118" s="70"/>
      <c r="F118" s="63"/>
      <c r="G118" s="70"/>
      <c r="H118" s="63"/>
      <c r="I118" s="63"/>
      <c r="J118" s="64"/>
      <c r="K118" s="96"/>
    </row>
    <row r="119" spans="1:11">
      <c r="A119" s="63"/>
      <c r="B119" s="63"/>
      <c r="C119" s="63"/>
      <c r="D119" s="63"/>
      <c r="E119" s="70"/>
      <c r="F119" s="63"/>
      <c r="G119" s="70"/>
      <c r="H119" s="63"/>
      <c r="I119" s="63"/>
      <c r="J119" s="64"/>
      <c r="K119" s="96"/>
    </row>
    <row r="120" spans="1:11">
      <c r="A120" s="63"/>
      <c r="B120" s="63"/>
      <c r="C120" s="63"/>
      <c r="D120" s="63"/>
      <c r="E120" s="70"/>
      <c r="F120" s="63"/>
      <c r="G120" s="70"/>
      <c r="H120" s="63"/>
      <c r="I120" s="63"/>
      <c r="J120" s="64"/>
      <c r="K120" s="96"/>
    </row>
    <row r="121" spans="1:11">
      <c r="A121" s="63"/>
      <c r="B121" s="63"/>
      <c r="C121" s="63"/>
      <c r="D121" s="63"/>
      <c r="E121" s="70"/>
      <c r="F121" s="63"/>
      <c r="G121" s="70"/>
      <c r="H121" s="63"/>
      <c r="I121" s="63"/>
      <c r="J121" s="64"/>
      <c r="K121" s="96"/>
    </row>
    <row r="122" spans="1:11">
      <c r="A122" s="63"/>
      <c r="B122" s="63"/>
      <c r="C122" s="63"/>
      <c r="D122" s="63"/>
      <c r="E122" s="70"/>
      <c r="F122" s="63"/>
      <c r="G122" s="70"/>
      <c r="H122" s="63"/>
      <c r="I122" s="63"/>
      <c r="J122" s="64"/>
      <c r="K122" s="96"/>
    </row>
    <row r="123" spans="1:11">
      <c r="A123" s="63"/>
      <c r="B123" s="63"/>
      <c r="C123" s="63"/>
      <c r="D123" s="63"/>
      <c r="E123" s="70"/>
      <c r="F123" s="63"/>
      <c r="G123" s="70"/>
      <c r="H123" s="63"/>
      <c r="I123" s="63"/>
      <c r="J123" s="64"/>
      <c r="K123" s="96"/>
    </row>
    <row r="124" spans="1:11">
      <c r="A124" s="63"/>
      <c r="B124" s="63"/>
      <c r="C124" s="63"/>
      <c r="D124" s="63"/>
      <c r="E124" s="70"/>
      <c r="F124" s="63"/>
      <c r="G124" s="70"/>
      <c r="H124" s="63"/>
      <c r="I124" s="63"/>
      <c r="J124" s="64"/>
      <c r="K124" s="96"/>
    </row>
    <row r="125" spans="1:11">
      <c r="A125" s="63"/>
      <c r="B125" s="63"/>
      <c r="C125" s="63"/>
      <c r="D125" s="63"/>
      <c r="E125" s="70"/>
      <c r="F125" s="63"/>
      <c r="G125" s="70"/>
      <c r="H125" s="63"/>
      <c r="I125" s="63"/>
      <c r="J125" s="64"/>
      <c r="K125" s="96"/>
    </row>
    <row r="126" spans="1:11">
      <c r="A126" s="63"/>
      <c r="B126" s="63"/>
      <c r="C126" s="63"/>
      <c r="D126" s="63"/>
      <c r="E126" s="70"/>
      <c r="F126" s="63"/>
      <c r="G126" s="70"/>
      <c r="H126" s="63"/>
      <c r="I126" s="63"/>
      <c r="J126" s="64"/>
      <c r="K126" s="96"/>
    </row>
    <row r="127" spans="1:11">
      <c r="A127" s="63"/>
      <c r="B127" s="63"/>
      <c r="C127" s="63"/>
      <c r="D127" s="63"/>
      <c r="E127" s="70"/>
      <c r="F127" s="63"/>
      <c r="G127" s="70"/>
      <c r="H127" s="63"/>
      <c r="I127" s="63"/>
      <c r="J127" s="64"/>
      <c r="K127" s="96"/>
    </row>
    <row r="128" spans="1:11">
      <c r="A128" s="63"/>
      <c r="B128" s="63"/>
      <c r="C128" s="63"/>
      <c r="D128" s="63"/>
      <c r="E128" s="70"/>
      <c r="F128" s="63"/>
      <c r="G128" s="70"/>
      <c r="H128" s="63"/>
      <c r="I128" s="63"/>
      <c r="J128" s="64"/>
      <c r="K128" s="96"/>
    </row>
    <row r="129" spans="1:11">
      <c r="A129" s="63"/>
      <c r="B129" s="63"/>
      <c r="C129" s="63"/>
      <c r="D129" s="63"/>
      <c r="E129" s="70"/>
      <c r="F129" s="63"/>
      <c r="G129" s="70"/>
      <c r="H129" s="63"/>
      <c r="I129" s="63"/>
      <c r="J129" s="64"/>
      <c r="K129" s="96"/>
    </row>
    <row r="130" spans="1:11">
      <c r="A130" s="63"/>
      <c r="B130" s="63"/>
      <c r="C130" s="63"/>
      <c r="D130" s="63"/>
      <c r="E130" s="70"/>
      <c r="F130" s="63"/>
      <c r="G130" s="70"/>
      <c r="H130" s="63"/>
      <c r="I130" s="63"/>
      <c r="J130" s="64"/>
      <c r="K130" s="96"/>
    </row>
    <row r="131" spans="1:11">
      <c r="A131" s="63"/>
      <c r="B131" s="63"/>
      <c r="C131" s="63"/>
      <c r="D131" s="63"/>
      <c r="E131" s="70"/>
      <c r="F131" s="63"/>
      <c r="G131" s="70"/>
      <c r="H131" s="63"/>
      <c r="I131" s="63"/>
      <c r="J131" s="64"/>
      <c r="K131" s="96"/>
    </row>
    <row r="132" spans="1:11">
      <c r="A132" s="63"/>
      <c r="B132" s="63"/>
      <c r="C132" s="63"/>
      <c r="D132" s="63"/>
      <c r="E132" s="70"/>
      <c r="F132" s="63"/>
      <c r="G132" s="70"/>
      <c r="H132" s="63"/>
      <c r="I132" s="63"/>
      <c r="J132" s="64"/>
      <c r="K132" s="96"/>
    </row>
    <row r="133" spans="1:11">
      <c r="A133" s="63"/>
      <c r="B133" s="63"/>
      <c r="C133" s="63"/>
      <c r="D133" s="63"/>
      <c r="E133" s="70"/>
      <c r="F133" s="63"/>
      <c r="G133" s="70"/>
      <c r="H133" s="63"/>
      <c r="I133" s="63"/>
      <c r="J133" s="64"/>
      <c r="K133" s="96"/>
    </row>
    <row r="134" spans="1:11">
      <c r="A134" s="63"/>
      <c r="B134" s="63"/>
      <c r="C134" s="63"/>
      <c r="D134" s="63"/>
      <c r="E134" s="70"/>
      <c r="F134" s="63"/>
      <c r="G134" s="70"/>
      <c r="H134" s="63"/>
      <c r="I134" s="63"/>
      <c r="J134" s="64"/>
      <c r="K134" s="96"/>
    </row>
    <row r="135" spans="1:11">
      <c r="A135" s="63"/>
      <c r="B135" s="63"/>
      <c r="C135" s="63"/>
      <c r="D135" s="63"/>
      <c r="E135" s="70"/>
      <c r="F135" s="63"/>
      <c r="G135" s="70"/>
      <c r="H135" s="63"/>
      <c r="I135" s="63"/>
      <c r="J135" s="64"/>
      <c r="K135" s="96"/>
    </row>
    <row r="136" spans="1:11">
      <c r="A136" s="63"/>
      <c r="B136" s="63"/>
      <c r="C136" s="63"/>
      <c r="D136" s="63"/>
      <c r="E136" s="70"/>
      <c r="F136" s="63"/>
      <c r="G136" s="70"/>
      <c r="H136" s="63"/>
      <c r="I136" s="63"/>
      <c r="J136" s="64"/>
      <c r="K136" s="96"/>
    </row>
    <row r="137" spans="1:11">
      <c r="A137" s="63"/>
      <c r="B137" s="63"/>
      <c r="C137" s="63"/>
      <c r="D137" s="63"/>
      <c r="E137" s="70"/>
      <c r="F137" s="63"/>
      <c r="G137" s="70"/>
      <c r="H137" s="63"/>
      <c r="I137" s="63"/>
      <c r="J137" s="64"/>
      <c r="K137" s="96"/>
    </row>
    <row r="138" spans="1:11">
      <c r="A138" s="63"/>
      <c r="B138" s="63"/>
      <c r="C138" s="63"/>
      <c r="D138" s="63"/>
      <c r="E138" s="70"/>
      <c r="F138" s="63"/>
      <c r="G138" s="70"/>
      <c r="H138" s="63"/>
      <c r="I138" s="63"/>
      <c r="J138" s="64"/>
      <c r="K138" s="96"/>
    </row>
    <row r="139" spans="1:11">
      <c r="A139" s="63"/>
      <c r="B139" s="63"/>
      <c r="C139" s="63"/>
      <c r="D139" s="63"/>
      <c r="E139" s="70"/>
      <c r="F139" s="63"/>
      <c r="G139" s="70"/>
      <c r="H139" s="63"/>
      <c r="I139" s="63"/>
      <c r="J139" s="64"/>
      <c r="K139" s="96"/>
    </row>
    <row r="140" spans="1:11">
      <c r="A140" s="63"/>
      <c r="B140" s="63"/>
      <c r="C140" s="63"/>
      <c r="D140" s="63"/>
      <c r="E140" s="70"/>
      <c r="F140" s="63"/>
      <c r="G140" s="70"/>
      <c r="H140" s="63"/>
      <c r="I140" s="63"/>
      <c r="J140" s="64"/>
      <c r="K140" s="96"/>
    </row>
    <row r="141" spans="1:11">
      <c r="A141" s="63"/>
      <c r="B141" s="63"/>
      <c r="C141" s="63"/>
      <c r="D141" s="63"/>
      <c r="E141" s="70"/>
      <c r="F141" s="63"/>
      <c r="G141" s="70"/>
      <c r="H141" s="63"/>
      <c r="I141" s="63"/>
      <c r="J141" s="64"/>
      <c r="K141" s="96"/>
    </row>
    <row r="142" spans="1:11">
      <c r="A142" s="5"/>
      <c r="B142" s="5"/>
      <c r="C142" s="5"/>
      <c r="D142" s="5"/>
      <c r="E142" s="5"/>
      <c r="F142" s="5"/>
      <c r="G142" s="5"/>
      <c r="H142" s="5"/>
      <c r="I142" s="5"/>
    </row>
    <row r="143" spans="1:11">
      <c r="A143" s="5"/>
      <c r="B143" s="5"/>
      <c r="C143" s="5"/>
      <c r="D143" s="5"/>
      <c r="E143" s="5"/>
      <c r="F143" s="5"/>
      <c r="G143" s="5"/>
      <c r="H143" s="5"/>
      <c r="I143" s="5"/>
    </row>
    <row r="144" spans="1:11">
      <c r="A144" s="5"/>
      <c r="B144" s="5"/>
      <c r="C144" s="5"/>
      <c r="D144" s="5"/>
      <c r="E144" s="5"/>
      <c r="F144" s="5"/>
      <c r="G144" s="5"/>
      <c r="H144" s="5"/>
      <c r="I144" s="5"/>
    </row>
    <row r="145" spans="1:9">
      <c r="A145" s="5"/>
      <c r="B145" s="5"/>
      <c r="C145" s="5"/>
      <c r="D145" s="5"/>
      <c r="E145" s="5"/>
      <c r="F145" s="5"/>
      <c r="G145" s="5"/>
      <c r="H145" s="5"/>
      <c r="I145" s="5"/>
    </row>
    <row r="146" spans="1:9">
      <c r="A146" s="5"/>
      <c r="B146" s="5"/>
      <c r="C146" s="5"/>
      <c r="D146" s="5"/>
      <c r="E146" s="5"/>
      <c r="F146" s="5"/>
      <c r="G146" s="5"/>
      <c r="H146" s="5"/>
      <c r="I146" s="5"/>
    </row>
    <row r="147" spans="1:9">
      <c r="A147" s="5"/>
      <c r="B147" s="5"/>
      <c r="C147" s="5"/>
      <c r="D147" s="5"/>
      <c r="E147" s="5"/>
      <c r="F147" s="5"/>
      <c r="G147" s="5"/>
      <c r="H147" s="5"/>
      <c r="I147" s="5"/>
    </row>
    <row r="148" spans="1:9">
      <c r="A148" s="5"/>
      <c r="B148" s="5"/>
      <c r="C148" s="5"/>
      <c r="D148" s="5"/>
      <c r="E148" s="5"/>
      <c r="F148" s="5"/>
      <c r="G148" s="5"/>
      <c r="H148" s="5"/>
      <c r="I148" s="5"/>
    </row>
    <row r="149" spans="1:9">
      <c r="A149" s="5"/>
      <c r="B149" s="5"/>
      <c r="C149" s="5"/>
      <c r="D149" s="5"/>
      <c r="E149" s="5"/>
      <c r="F149" s="5"/>
      <c r="G149" s="5"/>
      <c r="H149" s="5"/>
      <c r="I149" s="5"/>
    </row>
    <row r="150" spans="1:9">
      <c r="A150" s="5"/>
      <c r="B150" s="5"/>
      <c r="C150" s="5"/>
      <c r="D150" s="5"/>
      <c r="E150" s="5"/>
      <c r="F150" s="5"/>
      <c r="G150" s="5"/>
      <c r="H150" s="5"/>
      <c r="I150" s="5"/>
    </row>
    <row r="151" spans="1:9">
      <c r="A151" s="5"/>
      <c r="B151" s="5"/>
      <c r="C151" s="5"/>
      <c r="D151" s="5"/>
      <c r="E151" s="5"/>
      <c r="F151" s="5"/>
      <c r="G151" s="5"/>
      <c r="H151" s="5"/>
      <c r="I151" s="5"/>
    </row>
    <row r="152" spans="1:9">
      <c r="A152" s="5"/>
      <c r="B152" s="5"/>
      <c r="C152" s="5"/>
      <c r="D152" s="5"/>
      <c r="E152" s="5"/>
      <c r="F152" s="5"/>
      <c r="G152" s="5"/>
      <c r="H152" s="5"/>
      <c r="I152" s="5"/>
    </row>
    <row r="153" spans="1:9">
      <c r="A153" s="5"/>
      <c r="B153" s="5"/>
      <c r="C153" s="5"/>
      <c r="D153" s="5"/>
      <c r="E153" s="5"/>
      <c r="F153" s="5"/>
      <c r="G153" s="5"/>
      <c r="H153" s="5"/>
      <c r="I153" s="5"/>
    </row>
    <row r="154" spans="1:9">
      <c r="A154" s="5"/>
      <c r="B154" s="5"/>
      <c r="C154" s="5"/>
      <c r="D154" s="5"/>
      <c r="E154" s="5"/>
      <c r="F154" s="5"/>
      <c r="G154" s="5"/>
      <c r="H154" s="5"/>
      <c r="I154" s="5"/>
    </row>
    <row r="155" spans="1:9">
      <c r="A155" s="5"/>
      <c r="B155" s="5"/>
      <c r="C155" s="5"/>
      <c r="D155" s="5"/>
      <c r="E155" s="5"/>
      <c r="F155" s="5"/>
      <c r="G155" s="5"/>
      <c r="H155" s="5"/>
      <c r="I155" s="5"/>
    </row>
  </sheetData>
  <sheetProtection algorithmName="SHA-512" hashValue="xCIIGgzX0wQzW7AKUYxtLPoEtP1g3z1m87/Mtd+lP55bFXJzKV4IxYK10eturLuL6qjJ/Ctrygut18lqqNvALA==" saltValue="vJiST+pc0d6DItojCmv6qg==" spinCount="100000" sheet="1" objects="1" scenarios="1" sort="0" autoFilter="0"/>
  <mergeCells count="2">
    <mergeCell ref="A1:K1"/>
    <mergeCell ref="A2:K2"/>
  </mergeCells>
  <hyperlinks>
    <hyperlink ref="A21" r:id="rId1" location="100014!A1" display="100014" xr:uid="{23670ED5-2CEF-4E8C-A6AD-B1CD1A367FB6}"/>
    <hyperlink ref="A34" r:id="rId2" display="Employees.xlsm" xr:uid="{9476B77C-FA3E-4DFD-A660-A94AEA041381}"/>
    <hyperlink ref="A22" r:id="rId3" location="100013!A1" display="100013" xr:uid="{4941FB42-0E90-42F2-8F84-1A9A13019B4C}"/>
    <hyperlink ref="A23" r:id="rId4" location="100012!A1" display="100012" xr:uid="{565254EA-3762-4FB1-A4C2-9D79C52173DB}"/>
    <hyperlink ref="A24" r:id="rId5" location="100011!A1" display="100011" xr:uid="{9CEA84D5-B1C4-4A56-86B3-0DF3FBC3D047}"/>
    <hyperlink ref="A25" r:id="rId6" location="100010!A1" display="100010" xr:uid="{069AA3D1-929B-4CDE-BC6F-BFD044B51896}"/>
    <hyperlink ref="A26" r:id="rId7" location="100009!A1" display="100009" xr:uid="{E5F5D6D8-F278-47D7-92E4-4E7D9B84AD38}"/>
    <hyperlink ref="A27" r:id="rId8" location="100008!A1" display="100008" xr:uid="{53B26325-5467-4CA9-A4BD-C803AD237F81}"/>
    <hyperlink ref="A28" r:id="rId9" location="100007!A1" display="100007" xr:uid="{37ACEBFB-9BBD-4DC0-B0A9-A635943FBBB8}"/>
    <hyperlink ref="A29" r:id="rId10" location="100006!A1" display="100006" xr:uid="{A17D998E-DDD7-4FB4-BACA-CF6AF59E88BF}"/>
    <hyperlink ref="A30" r:id="rId11" location="100005!A1" display="100005" xr:uid="{1B065840-4838-4A8D-BBC1-BDE129CA3851}"/>
    <hyperlink ref="A20" r:id="rId12" location="100015!A1" display="100015" xr:uid="{6E852E1B-E3D3-40B1-AB1A-1770C07BAAF2}"/>
    <hyperlink ref="A19" r:id="rId13" location="100016!A1" display="100016" xr:uid="{416429FA-C505-42B0-908B-C2BE9F84B347}"/>
    <hyperlink ref="A18" r:id="rId14" location="100017!A1" display="100017" xr:uid="{18AE23A7-6626-41E9-9BC1-E1ED02D896B3}"/>
    <hyperlink ref="A17" r:id="rId15" location="100018!A1" display="100018" xr:uid="{47843301-41D3-4152-98E7-7E39E5A1648A}"/>
    <hyperlink ref="A16" r:id="rId16" location="100019!A1" display="100019" xr:uid="{3F301437-8A74-4677-B6C9-D1E065CD0E04}"/>
    <hyperlink ref="A15" r:id="rId17" location="100020!A1" display="100020" xr:uid="{C9F4CADE-D97D-4547-907F-7C2FF7C6DF2D}"/>
    <hyperlink ref="A14" r:id="rId18" location="100021!A1" display="100021" xr:uid="{D7286252-C9A4-4E80-9F55-2C1AEF61A8B2}"/>
    <hyperlink ref="A13" r:id="rId19" location="100022!A1" display="100022" xr:uid="{8DEA3390-3366-478D-B01D-518908B9C932}"/>
    <hyperlink ref="A12" r:id="rId20" location="100023!A1" display="100023" xr:uid="{34C2D876-4AB4-4911-A133-8F90DF880344}"/>
    <hyperlink ref="A11" r:id="rId21" location="100024!A1" display="100024" xr:uid="{C2315AD9-C69C-4654-AED8-E68BB99DCCF1}"/>
    <hyperlink ref="A10" r:id="rId22" location="100025!A1" display="100025" xr:uid="{7C3C5658-2DE2-4E49-B967-4D76794090FF}"/>
    <hyperlink ref="A9" r:id="rId23" location="100026!A1" display="100026" xr:uid="{81CE5B1C-0543-4B40-96F3-6FAE1B6F2F7B}"/>
    <hyperlink ref="A8" r:id="rId24" location="100027!A1" display="100027" xr:uid="{025593F4-4EF9-4EAB-8AE4-9E1C1F4BBD1F}"/>
    <hyperlink ref="A7" r:id="rId25" location="100028!A1" display="100028" xr:uid="{2D77348D-6272-4B8C-B560-55F45934FF41}"/>
    <hyperlink ref="A6" r:id="rId26" location="100029!A1" display="100029" xr:uid="{2717A5A8-AF89-43BC-BE22-D2D0F9ED6086}"/>
    <hyperlink ref="A5" r:id="rId27" location="100030!A1" display="100030" xr:uid="{9AF2871C-D560-43C2-B1FC-451FD0AD15C3}"/>
    <hyperlink ref="A4" r:id="rId28" location="100031!A1" display="100031" xr:uid="{48AD763E-F509-4D27-9792-2544B1677AF7}"/>
  </hyperlinks>
  <pageMargins left="0.7" right="0.7" top="0.75" bottom="0.75" header="0.3" footer="0.3"/>
  <pageSetup orientation="portrait" r:id="rId29"/>
  <tableParts count="1">
    <tablePart r:id="rId3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24349-5FE7-4681-9ACF-5E1CA16C3DDA}">
  <sheetPr codeName="Sheet2"/>
  <dimension ref="B1:O42"/>
  <sheetViews>
    <sheetView zoomScale="85" zoomScaleNormal="85" workbookViewId="0">
      <selection activeCell="F41" sqref="F41"/>
    </sheetView>
  </sheetViews>
  <sheetFormatPr defaultRowHeight="15"/>
  <cols>
    <col min="2" max="2" width="17.28515625" bestFit="1" customWidth="1"/>
    <col min="3" max="3" width="20.42578125" bestFit="1" customWidth="1"/>
    <col min="4" max="5" width="5.140625" bestFit="1" customWidth="1"/>
    <col min="6" max="6" width="17.140625" bestFit="1" customWidth="1"/>
    <col min="7" max="7" width="22.140625" bestFit="1" customWidth="1"/>
    <col min="8" max="8" width="14" customWidth="1"/>
    <col min="9" max="9" width="16.5703125" customWidth="1"/>
    <col min="10" max="10" width="17.140625" bestFit="1" customWidth="1"/>
    <col min="11" max="11" width="27.42578125" bestFit="1" customWidth="1"/>
    <col min="12" max="12" width="5.140625" bestFit="1" customWidth="1"/>
    <col min="13" max="13" width="6.140625" bestFit="1" customWidth="1"/>
    <col min="14" max="14" width="17.140625" bestFit="1" customWidth="1"/>
    <col min="15" max="15" width="20.42578125" bestFit="1" customWidth="1"/>
    <col min="16" max="18" width="6.140625" bestFit="1" customWidth="1"/>
    <col min="19" max="19" width="5.140625" bestFit="1" customWidth="1"/>
    <col min="20" max="21" width="6.140625" bestFit="1" customWidth="1"/>
    <col min="22" max="26" width="5.140625" bestFit="1" customWidth="1"/>
    <col min="27" max="27" width="6.140625" bestFit="1" customWidth="1"/>
    <col min="28" max="28" width="5.140625" bestFit="1" customWidth="1"/>
    <col min="29" max="29" width="7.28515625" bestFit="1" customWidth="1"/>
    <col min="30" max="30" width="11.28515625" bestFit="1" customWidth="1"/>
  </cols>
  <sheetData>
    <row r="1" spans="2:9">
      <c r="B1" s="153" t="s">
        <v>43</v>
      </c>
      <c r="C1" s="153"/>
      <c r="E1" s="153" t="s">
        <v>46</v>
      </c>
      <c r="F1" s="153"/>
      <c r="H1" s="77" t="s">
        <v>113</v>
      </c>
      <c r="I1" s="78" t="s">
        <v>114</v>
      </c>
    </row>
    <row r="2" spans="2:9">
      <c r="B2" s="4" t="s">
        <v>31</v>
      </c>
      <c r="C2" s="1">
        <v>5</v>
      </c>
      <c r="E2" s="3">
        <v>1</v>
      </c>
      <c r="F2" s="2" t="s">
        <v>44</v>
      </c>
      <c r="H2" s="74" t="s">
        <v>97</v>
      </c>
      <c r="I2">
        <f>COUNTIF(Table4[Department], "Human_Resource")</f>
        <v>4</v>
      </c>
    </row>
    <row r="3" spans="2:9">
      <c r="B3" s="4" t="s">
        <v>32</v>
      </c>
      <c r="C3" s="1">
        <v>4</v>
      </c>
      <c r="E3" s="3">
        <v>5</v>
      </c>
      <c r="F3" s="2" t="s">
        <v>45</v>
      </c>
      <c r="H3" s="73" t="s">
        <v>90</v>
      </c>
      <c r="I3">
        <f>COUNTIF(Table4[Department], "Finance")</f>
        <v>5</v>
      </c>
    </row>
    <row r="4" spans="2:9">
      <c r="B4" s="4" t="s">
        <v>33</v>
      </c>
      <c r="C4" s="1">
        <v>3</v>
      </c>
      <c r="E4" s="3">
        <v>9</v>
      </c>
      <c r="F4" s="2" t="s">
        <v>47</v>
      </c>
      <c r="H4" s="73" t="s">
        <v>94</v>
      </c>
      <c r="I4">
        <f>COUNTIF(Table4[Department], "Marketing")</f>
        <v>3</v>
      </c>
    </row>
    <row r="5" spans="2:9">
      <c r="B5" s="4" t="s">
        <v>34</v>
      </c>
      <c r="C5" s="1">
        <v>2</v>
      </c>
      <c r="E5" s="3">
        <v>13</v>
      </c>
      <c r="F5" s="2" t="s">
        <v>48</v>
      </c>
      <c r="H5" s="73" t="s">
        <v>96</v>
      </c>
      <c r="I5">
        <f>COUNTIF(Table4[Department], "Sales")</f>
        <v>4</v>
      </c>
    </row>
    <row r="6" spans="2:9">
      <c r="B6" s="4" t="s">
        <v>35</v>
      </c>
      <c r="C6" s="1">
        <v>1</v>
      </c>
      <c r="E6" s="3">
        <v>17</v>
      </c>
      <c r="F6" s="2" t="s">
        <v>49</v>
      </c>
      <c r="H6" s="73" t="s">
        <v>98</v>
      </c>
      <c r="I6">
        <f>COUNTIF(Table4[Department], "Operations")</f>
        <v>4</v>
      </c>
    </row>
    <row r="7" spans="2:9">
      <c r="E7" s="3">
        <v>20</v>
      </c>
      <c r="F7" s="2" t="s">
        <v>49</v>
      </c>
      <c r="H7" s="73" t="s">
        <v>99</v>
      </c>
      <c r="I7">
        <f>COUNTIF(Table4[Department], "IT")</f>
        <v>4</v>
      </c>
    </row>
    <row r="8" spans="2:9">
      <c r="H8" s="74" t="s">
        <v>101</v>
      </c>
      <c r="I8">
        <f>COUNTIF(Table4[Department], "Customer_Service")</f>
        <v>3</v>
      </c>
    </row>
    <row r="9" spans="2:9">
      <c r="H9" s="73" t="s">
        <v>100</v>
      </c>
      <c r="I9">
        <f>COUNTIF(Table4[Department], "Administration")</f>
        <v>4</v>
      </c>
    </row>
    <row r="13" spans="2:9">
      <c r="B13" s="75" t="s">
        <v>110</v>
      </c>
      <c r="C13" t="s">
        <v>111</v>
      </c>
      <c r="E13" s="79"/>
      <c r="H13" s="80"/>
      <c r="I13" s="80"/>
    </row>
    <row r="14" spans="2:9">
      <c r="B14" s="76" t="s">
        <v>90</v>
      </c>
      <c r="C14">
        <v>62.5</v>
      </c>
      <c r="I14" s="81"/>
    </row>
    <row r="15" spans="2:9">
      <c r="B15" s="76" t="s">
        <v>98</v>
      </c>
      <c r="C15">
        <v>51.1</v>
      </c>
      <c r="I15" s="81"/>
    </row>
    <row r="16" spans="2:9">
      <c r="B16" s="76" t="s">
        <v>99</v>
      </c>
      <c r="C16">
        <v>49.300000000000004</v>
      </c>
      <c r="I16" s="81"/>
    </row>
    <row r="17" spans="2:15">
      <c r="B17" s="76" t="s">
        <v>96</v>
      </c>
      <c r="C17">
        <v>49.099999999999994</v>
      </c>
      <c r="I17" s="81"/>
    </row>
    <row r="18" spans="2:15">
      <c r="B18" s="76" t="s">
        <v>109</v>
      </c>
      <c r="C18">
        <v>48.5</v>
      </c>
      <c r="I18" s="81"/>
    </row>
    <row r="19" spans="2:15">
      <c r="B19" s="76" t="s">
        <v>100</v>
      </c>
      <c r="C19">
        <v>48.3</v>
      </c>
      <c r="I19" s="81"/>
    </row>
    <row r="20" spans="2:15">
      <c r="B20" s="76" t="s">
        <v>106</v>
      </c>
      <c r="C20">
        <v>36.950000000000003</v>
      </c>
      <c r="I20" s="81"/>
    </row>
    <row r="21" spans="2:15">
      <c r="B21" s="76" t="s">
        <v>94</v>
      </c>
      <c r="C21">
        <v>35.950000000000003</v>
      </c>
      <c r="I21" s="81"/>
    </row>
    <row r="22" spans="2:15">
      <c r="I22" s="81"/>
    </row>
    <row r="23" spans="2:15">
      <c r="I23" s="81"/>
    </row>
    <row r="24" spans="2:15">
      <c r="I24" s="81"/>
    </row>
    <row r="25" spans="2:15">
      <c r="B25" s="75" t="s">
        <v>110</v>
      </c>
      <c r="C25" t="s">
        <v>133</v>
      </c>
      <c r="F25" s="75" t="s">
        <v>110</v>
      </c>
      <c r="G25" t="s">
        <v>132</v>
      </c>
      <c r="J25" s="84" t="s">
        <v>110</v>
      </c>
      <c r="K25" s="85" t="s">
        <v>134</v>
      </c>
      <c r="N25" s="75" t="s">
        <v>110</v>
      </c>
      <c r="O25" t="s">
        <v>111</v>
      </c>
    </row>
    <row r="26" spans="2:15">
      <c r="B26" s="76" t="s">
        <v>119</v>
      </c>
      <c r="C26" s="81">
        <v>3.1349999999999998</v>
      </c>
      <c r="F26" s="76" t="s">
        <v>119</v>
      </c>
      <c r="G26" s="81">
        <v>62.7</v>
      </c>
      <c r="J26" s="86" t="s">
        <v>139</v>
      </c>
      <c r="K26" s="85">
        <v>250</v>
      </c>
      <c r="N26" s="76" t="s">
        <v>139</v>
      </c>
      <c r="O26" s="81">
        <v>12.5</v>
      </c>
    </row>
    <row r="27" spans="2:15">
      <c r="B27" s="76" t="s">
        <v>139</v>
      </c>
      <c r="C27" s="81">
        <v>3.2150000000000003</v>
      </c>
      <c r="F27" s="76" t="s">
        <v>139</v>
      </c>
      <c r="G27" s="81">
        <v>64.300000000000011</v>
      </c>
      <c r="J27" s="86" t="s">
        <v>92</v>
      </c>
      <c r="K27" s="85">
        <v>251</v>
      </c>
      <c r="N27" s="76" t="s">
        <v>92</v>
      </c>
      <c r="O27" s="81">
        <v>12.55</v>
      </c>
    </row>
    <row r="28" spans="2:15">
      <c r="B28" s="76" t="s">
        <v>107</v>
      </c>
      <c r="C28" s="81">
        <v>3.22</v>
      </c>
      <c r="F28" s="76" t="s">
        <v>107</v>
      </c>
      <c r="G28" s="81">
        <v>64.400000000000006</v>
      </c>
      <c r="J28" s="86" t="s">
        <v>117</v>
      </c>
      <c r="K28" s="85">
        <v>252</v>
      </c>
      <c r="N28" s="76" t="s">
        <v>117</v>
      </c>
      <c r="O28" s="81">
        <v>12.600000000000001</v>
      </c>
    </row>
    <row r="29" spans="2:15">
      <c r="B29" s="76" t="s">
        <v>156</v>
      </c>
      <c r="C29" s="81">
        <v>3.26</v>
      </c>
      <c r="F29" s="76" t="s">
        <v>156</v>
      </c>
      <c r="G29" s="81">
        <v>65.3</v>
      </c>
      <c r="J29" s="86" t="s">
        <v>143</v>
      </c>
      <c r="K29" s="85">
        <v>256</v>
      </c>
      <c r="N29" s="76" t="s">
        <v>143</v>
      </c>
      <c r="O29" s="81">
        <v>12.8</v>
      </c>
    </row>
    <row r="30" spans="2:15">
      <c r="B30" s="76" t="s">
        <v>148</v>
      </c>
      <c r="C30" s="81">
        <v>3.2800000000000002</v>
      </c>
      <c r="F30" s="76" t="s">
        <v>148</v>
      </c>
      <c r="G30" s="81">
        <v>65.600000000000009</v>
      </c>
      <c r="J30" s="86" t="s">
        <v>125</v>
      </c>
      <c r="K30" s="85">
        <v>257</v>
      </c>
      <c r="N30" s="76" t="s">
        <v>125</v>
      </c>
      <c r="O30" s="81">
        <v>12.85</v>
      </c>
    </row>
    <row r="31" spans="2:15">
      <c r="B31" s="76" t="s">
        <v>143</v>
      </c>
      <c r="C31" s="81">
        <v>3.3200000000000003</v>
      </c>
      <c r="F31" s="76" t="s">
        <v>143</v>
      </c>
      <c r="G31" s="81">
        <v>66.400000000000006</v>
      </c>
      <c r="J31" s="86" t="s">
        <v>156</v>
      </c>
      <c r="K31" s="85">
        <v>263</v>
      </c>
      <c r="N31" s="76" t="s">
        <v>156</v>
      </c>
      <c r="O31" s="81">
        <v>13.15</v>
      </c>
    </row>
    <row r="32" spans="2:15">
      <c r="B32" s="76" t="s">
        <v>125</v>
      </c>
      <c r="C32" s="81">
        <v>3.37</v>
      </c>
      <c r="F32" s="76" t="s">
        <v>125</v>
      </c>
      <c r="G32" s="81">
        <v>67.400000000000006</v>
      </c>
      <c r="J32" s="86" t="s">
        <v>148</v>
      </c>
      <c r="K32" s="85">
        <v>263</v>
      </c>
      <c r="N32" s="76" t="s">
        <v>148</v>
      </c>
      <c r="O32" s="81">
        <v>13.15</v>
      </c>
    </row>
    <row r="33" spans="2:15">
      <c r="B33" s="76" t="s">
        <v>158</v>
      </c>
      <c r="C33" s="81">
        <v>3.3850000000000002</v>
      </c>
      <c r="F33" s="76" t="s">
        <v>158</v>
      </c>
      <c r="G33" s="81">
        <v>67.7</v>
      </c>
      <c r="J33" s="86" t="s">
        <v>158</v>
      </c>
      <c r="K33" s="85">
        <v>265</v>
      </c>
      <c r="N33" s="76" t="s">
        <v>158</v>
      </c>
      <c r="O33" s="81">
        <v>13.25</v>
      </c>
    </row>
    <row r="34" spans="2:15">
      <c r="B34" s="76" t="s">
        <v>160</v>
      </c>
      <c r="C34" s="81">
        <v>3.42</v>
      </c>
      <c r="F34" s="76" t="s">
        <v>160</v>
      </c>
      <c r="G34" s="81">
        <v>68.399999999999991</v>
      </c>
      <c r="J34" s="86" t="s">
        <v>160</v>
      </c>
      <c r="K34" s="85">
        <v>271</v>
      </c>
      <c r="N34" s="76" t="s">
        <v>160</v>
      </c>
      <c r="O34" s="81">
        <v>13.55</v>
      </c>
    </row>
    <row r="35" spans="2:15">
      <c r="B35" s="76" t="s">
        <v>161</v>
      </c>
      <c r="C35" s="81">
        <v>3.6050000000000009</v>
      </c>
      <c r="F35" s="76" t="s">
        <v>161</v>
      </c>
      <c r="G35" s="81">
        <v>72.099999999999994</v>
      </c>
      <c r="J35" s="86" t="s">
        <v>161</v>
      </c>
      <c r="K35" s="85">
        <v>276</v>
      </c>
      <c r="N35" s="76" t="s">
        <v>161</v>
      </c>
      <c r="O35" s="81">
        <v>13.799999999999999</v>
      </c>
    </row>
    <row r="40" spans="2:15">
      <c r="B40" s="75" t="s">
        <v>110</v>
      </c>
      <c r="C40" t="s">
        <v>133</v>
      </c>
    </row>
    <row r="41" spans="2:15">
      <c r="B41" s="76" t="s">
        <v>161</v>
      </c>
      <c r="C41" s="81">
        <v>3.6050000000000009</v>
      </c>
      <c r="F41" s="101"/>
    </row>
    <row r="42" spans="2:15">
      <c r="B42" s="98" t="s">
        <v>98</v>
      </c>
      <c r="C42" s="81">
        <v>3.6050000000000009</v>
      </c>
    </row>
  </sheetData>
  <mergeCells count="2">
    <mergeCell ref="B1:C1"/>
    <mergeCell ref="E1:F1"/>
  </mergeCells>
  <pageMargins left="0.7" right="0.7" top="0.75" bottom="0.75" header="0.3" footer="0.3"/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B1C38-9D6A-4EED-A8DD-EDDEE7E5C75A}">
  <sheetPr codeName="Sheet4"/>
  <dimension ref="B1:P3"/>
  <sheetViews>
    <sheetView topLeftCell="A11" zoomScale="85" zoomScaleNormal="85" workbookViewId="0">
      <selection activeCell="P2" sqref="P2"/>
    </sheetView>
  </sheetViews>
  <sheetFormatPr defaultRowHeight="15"/>
  <cols>
    <col min="1" max="2" width="9.140625" style="83"/>
    <col min="3" max="3" width="27.85546875" style="83" customWidth="1"/>
    <col min="4" max="16384" width="9.140625" style="83"/>
  </cols>
  <sheetData>
    <row r="1" spans="2:16" ht="15.75" thickBot="1"/>
    <row r="2" spans="2:16" ht="36.75" customHeight="1" thickBot="1">
      <c r="B2" s="154" t="s">
        <v>112</v>
      </c>
      <c r="C2" s="155"/>
      <c r="D2" s="92">
        <f>COUNTA(Table4[Employee ID])</f>
        <v>31</v>
      </c>
      <c r="J2" s="156" t="s">
        <v>157</v>
      </c>
      <c r="K2" s="156"/>
      <c r="L2" s="156"/>
      <c r="M2" s="157" t="str">
        <f>Tables!B41</f>
        <v>Haruki Murakami</v>
      </c>
      <c r="N2" s="157"/>
      <c r="O2" s="157"/>
      <c r="P2" s="102">
        <f>Tables!C41</f>
        <v>3.6050000000000009</v>
      </c>
    </row>
    <row r="3" spans="2:16">
      <c r="M3" s="158" t="str">
        <f>Tables!B42</f>
        <v>Operations</v>
      </c>
      <c r="N3" s="158"/>
      <c r="O3" s="158"/>
    </row>
  </sheetData>
  <mergeCells count="4">
    <mergeCell ref="B2:C2"/>
    <mergeCell ref="J2:L2"/>
    <mergeCell ref="M2:O2"/>
    <mergeCell ref="M3:O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Employee</vt:lpstr>
      <vt:lpstr>Overview</vt:lpstr>
      <vt:lpstr>Tables</vt:lpstr>
      <vt:lpstr>Dashboard</vt:lpstr>
      <vt:lpstr>Employee!Print_Area</vt:lpstr>
      <vt:lpstr>printable_area</vt:lpstr>
      <vt:lpstr>score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Jaspher</dc:creator>
  <cp:lastModifiedBy>Jaspher Atun</cp:lastModifiedBy>
  <cp:lastPrinted>2024-06-28T14:57:00Z</cp:lastPrinted>
  <dcterms:created xsi:type="dcterms:W3CDTF">2019-10-02T06:33:00Z</dcterms:created>
  <dcterms:modified xsi:type="dcterms:W3CDTF">2024-06-29T07:30:58Z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